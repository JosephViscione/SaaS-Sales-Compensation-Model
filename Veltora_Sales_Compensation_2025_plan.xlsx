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a0b5880c8762eba/Documents/"/>
    </mc:Choice>
  </mc:AlternateContent>
  <xr:revisionPtr revIDLastSave="6" documentId="8_{D5710C11-24F6-4CE7-BA1C-57EC57F3970F}" xr6:coauthVersionLast="47" xr6:coauthVersionMax="47" xr10:uidLastSave="{249484C9-CB5A-4DD3-A4D9-EDC77EFB29BE}"/>
  <bookViews>
    <workbookView xWindow="-110" yWindow="-110" windowWidth="19420" windowHeight="11500" tabRatio="500" firstSheet="5" activeTab="7" xr2:uid="{00000000-000D-0000-FFFF-FFFF00000000}"/>
  </bookViews>
  <sheets>
    <sheet name="assumptions" sheetId="1" r:id="rId1"/>
    <sheet name="plan_catalog" sheetId="2" r:id="rId2"/>
    <sheet name="rep_roster" sheetId="3" r:id="rId3"/>
    <sheet name="monthly_actuals" sheetId="4" r:id="rId4"/>
    <sheet name="sdr_meeting_tracker" sheetId="5" r:id="rId5"/>
    <sheet name="commission_calc" sheetId="6" r:id="rId6"/>
    <sheet name="quarterly_bonus" sheetId="7" r:id="rId7"/>
    <sheet name="team_rollup" sheetId="8" r:id="rId8"/>
    <sheet name="dashboar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8" l="1" a="1"/>
  <c r="C14" i="8" s="1"/>
  <c r="A8" i="2"/>
  <c r="A5" i="2"/>
  <c r="T7" i="6"/>
  <c r="T18" i="6"/>
  <c r="K54" i="9"/>
  <c r="C54" i="9"/>
  <c r="K53" i="9"/>
  <c r="C53" i="9"/>
  <c r="K52" i="9"/>
  <c r="C52" i="9"/>
  <c r="K51" i="9"/>
  <c r="C51" i="9"/>
  <c r="K50" i="9"/>
  <c r="C50" i="9"/>
  <c r="K49" i="9"/>
  <c r="C49" i="9"/>
  <c r="P44" i="9"/>
  <c r="O44" i="9"/>
  <c r="N44" i="9"/>
  <c r="M44" i="9"/>
  <c r="J44" i="9"/>
  <c r="H44" i="9"/>
  <c r="L44" i="9" s="1"/>
  <c r="C44" i="9"/>
  <c r="P43" i="9"/>
  <c r="O43" i="9"/>
  <c r="N43" i="9"/>
  <c r="M43" i="9"/>
  <c r="J43" i="9"/>
  <c r="H43" i="9"/>
  <c r="L43" i="9" s="1"/>
  <c r="C43" i="9"/>
  <c r="P42" i="9"/>
  <c r="O42" i="9"/>
  <c r="N42" i="9"/>
  <c r="M42" i="9"/>
  <c r="J42" i="9"/>
  <c r="H42" i="9"/>
  <c r="L42" i="9" s="1"/>
  <c r="C42" i="9"/>
  <c r="P41" i="9"/>
  <c r="O41" i="9"/>
  <c r="N41" i="9"/>
  <c r="M41" i="9"/>
  <c r="J41" i="9"/>
  <c r="H41" i="9"/>
  <c r="L41" i="9" s="1"/>
  <c r="C41" i="9"/>
  <c r="P40" i="9"/>
  <c r="O40" i="9"/>
  <c r="N40" i="9"/>
  <c r="M40" i="9"/>
  <c r="J40" i="9"/>
  <c r="H40" i="9"/>
  <c r="L40" i="9" s="1"/>
  <c r="C40" i="9"/>
  <c r="P39" i="9"/>
  <c r="O39" i="9"/>
  <c r="N39" i="9"/>
  <c r="M39" i="9"/>
  <c r="J39" i="9"/>
  <c r="H39" i="9"/>
  <c r="L39" i="9" s="1"/>
  <c r="C39" i="9"/>
  <c r="P38" i="9"/>
  <c r="O38" i="9"/>
  <c r="N38" i="9"/>
  <c r="M38" i="9"/>
  <c r="J38" i="9"/>
  <c r="H38" i="9"/>
  <c r="L38" i="9" s="1"/>
  <c r="C38" i="9"/>
  <c r="P37" i="9"/>
  <c r="O37" i="9"/>
  <c r="N37" i="9"/>
  <c r="M37" i="9"/>
  <c r="J37" i="9"/>
  <c r="H37" i="9"/>
  <c r="L37" i="9" s="1"/>
  <c r="C37" i="9"/>
  <c r="P36" i="9"/>
  <c r="O36" i="9"/>
  <c r="N36" i="9"/>
  <c r="M36" i="9"/>
  <c r="J36" i="9"/>
  <c r="H36" i="9"/>
  <c r="L36" i="9" s="1"/>
  <c r="C36" i="9"/>
  <c r="P35" i="9"/>
  <c r="O35" i="9"/>
  <c r="N35" i="9"/>
  <c r="M35" i="9"/>
  <c r="J35" i="9"/>
  <c r="H35" i="9"/>
  <c r="L35" i="9" s="1"/>
  <c r="C35" i="9"/>
  <c r="P34" i="9"/>
  <c r="O34" i="9"/>
  <c r="N34" i="9"/>
  <c r="M34" i="9"/>
  <c r="J34" i="9"/>
  <c r="H34" i="9"/>
  <c r="L34" i="9" s="1"/>
  <c r="C34" i="9"/>
  <c r="P33" i="9"/>
  <c r="O33" i="9"/>
  <c r="N33" i="9"/>
  <c r="M33" i="9"/>
  <c r="J33" i="9"/>
  <c r="H33" i="9"/>
  <c r="L33" i="9" s="1"/>
  <c r="C33" i="9"/>
  <c r="R22" i="7"/>
  <c r="S22" i="7" s="1"/>
  <c r="T22" i="7" s="1"/>
  <c r="Q22" i="7"/>
  <c r="N22" i="7"/>
  <c r="O22" i="7" s="1"/>
  <c r="P22" i="7" s="1"/>
  <c r="M22" i="7"/>
  <c r="J22" i="7"/>
  <c r="K22" i="7" s="1"/>
  <c r="L22" i="7" s="1"/>
  <c r="I22" i="7"/>
  <c r="F22" i="7"/>
  <c r="G22" i="7" s="1"/>
  <c r="H22" i="7" s="1"/>
  <c r="E22" i="7"/>
  <c r="D22" i="7"/>
  <c r="C22" i="7"/>
  <c r="B22" i="7"/>
  <c r="R21" i="7"/>
  <c r="S21" i="7" s="1"/>
  <c r="T21" i="7" s="1"/>
  <c r="Q21" i="7"/>
  <c r="N21" i="7"/>
  <c r="O21" i="7" s="1"/>
  <c r="P21" i="7" s="1"/>
  <c r="M21" i="7"/>
  <c r="J21" i="7"/>
  <c r="K21" i="7" s="1"/>
  <c r="L21" i="7" s="1"/>
  <c r="I21" i="7"/>
  <c r="F21" i="7"/>
  <c r="G21" i="7" s="1"/>
  <c r="H21" i="7" s="1"/>
  <c r="U21" i="7" s="1"/>
  <c r="E21" i="7"/>
  <c r="D21" i="7"/>
  <c r="C21" i="7"/>
  <c r="B21" i="7"/>
  <c r="R20" i="7"/>
  <c r="S20" i="7" s="1"/>
  <c r="T20" i="7" s="1"/>
  <c r="Q20" i="7"/>
  <c r="N20" i="7"/>
  <c r="O20" i="7" s="1"/>
  <c r="P20" i="7" s="1"/>
  <c r="M20" i="7"/>
  <c r="J20" i="7"/>
  <c r="K20" i="7" s="1"/>
  <c r="L20" i="7" s="1"/>
  <c r="I20" i="7"/>
  <c r="F20" i="7"/>
  <c r="G20" i="7" s="1"/>
  <c r="H20" i="7" s="1"/>
  <c r="U20" i="7" s="1"/>
  <c r="E20" i="7"/>
  <c r="D20" i="7"/>
  <c r="C20" i="7"/>
  <c r="B20" i="7"/>
  <c r="R19" i="7"/>
  <c r="S19" i="7" s="1"/>
  <c r="T19" i="7" s="1"/>
  <c r="Q19" i="7"/>
  <c r="N19" i="7"/>
  <c r="O19" i="7" s="1"/>
  <c r="P19" i="7" s="1"/>
  <c r="M19" i="7"/>
  <c r="J19" i="7"/>
  <c r="K19" i="7" s="1"/>
  <c r="L19" i="7" s="1"/>
  <c r="I19" i="7"/>
  <c r="F19" i="7"/>
  <c r="G19" i="7" s="1"/>
  <c r="H19" i="7" s="1"/>
  <c r="U19" i="7" s="1"/>
  <c r="E19" i="7"/>
  <c r="D19" i="7"/>
  <c r="C19" i="7"/>
  <c r="B19" i="7"/>
  <c r="R18" i="7"/>
  <c r="S18" i="7" s="1"/>
  <c r="T18" i="7" s="1"/>
  <c r="Q18" i="7"/>
  <c r="N18" i="7"/>
  <c r="O18" i="7" s="1"/>
  <c r="P18" i="7" s="1"/>
  <c r="M18" i="7"/>
  <c r="J18" i="7"/>
  <c r="K18" i="7" s="1"/>
  <c r="L18" i="7" s="1"/>
  <c r="I18" i="7"/>
  <c r="F18" i="7"/>
  <c r="G18" i="7" s="1"/>
  <c r="H18" i="7" s="1"/>
  <c r="E18" i="7"/>
  <c r="D18" i="7"/>
  <c r="C18" i="7"/>
  <c r="B18" i="7"/>
  <c r="R17" i="7"/>
  <c r="S17" i="7" s="1"/>
  <c r="T17" i="7" s="1"/>
  <c r="Q17" i="7"/>
  <c r="N17" i="7"/>
  <c r="O17" i="7" s="1"/>
  <c r="P17" i="7" s="1"/>
  <c r="M17" i="7"/>
  <c r="J17" i="7"/>
  <c r="K17" i="7" s="1"/>
  <c r="L17" i="7" s="1"/>
  <c r="I17" i="7"/>
  <c r="F17" i="7"/>
  <c r="G17" i="7" s="1"/>
  <c r="H17" i="7" s="1"/>
  <c r="E17" i="7"/>
  <c r="D17" i="7"/>
  <c r="C17" i="7"/>
  <c r="B17" i="7"/>
  <c r="R16" i="7"/>
  <c r="S16" i="7" s="1"/>
  <c r="T16" i="7" s="1"/>
  <c r="Q16" i="7"/>
  <c r="N16" i="7"/>
  <c r="O16" i="7" s="1"/>
  <c r="P16" i="7" s="1"/>
  <c r="M16" i="7"/>
  <c r="J16" i="7"/>
  <c r="K16" i="7" s="1"/>
  <c r="L16" i="7" s="1"/>
  <c r="I16" i="7"/>
  <c r="F16" i="7"/>
  <c r="G16" i="7" s="1"/>
  <c r="H16" i="7" s="1"/>
  <c r="U16" i="7" s="1"/>
  <c r="E16" i="7"/>
  <c r="D16" i="7"/>
  <c r="C16" i="7"/>
  <c r="B16" i="7"/>
  <c r="R15" i="7"/>
  <c r="S15" i="7" s="1"/>
  <c r="T15" i="7" s="1"/>
  <c r="Q15" i="7"/>
  <c r="N15" i="7"/>
  <c r="O15" i="7" s="1"/>
  <c r="P15" i="7" s="1"/>
  <c r="M15" i="7"/>
  <c r="J15" i="7"/>
  <c r="K15" i="7" s="1"/>
  <c r="L15" i="7" s="1"/>
  <c r="I15" i="7"/>
  <c r="F15" i="7"/>
  <c r="G15" i="7" s="1"/>
  <c r="H15" i="7" s="1"/>
  <c r="E15" i="7"/>
  <c r="D15" i="7"/>
  <c r="C15" i="7"/>
  <c r="B15" i="7"/>
  <c r="R14" i="7"/>
  <c r="S14" i="7" s="1"/>
  <c r="T14" i="7" s="1"/>
  <c r="Q14" i="7"/>
  <c r="N14" i="7"/>
  <c r="O14" i="7" s="1"/>
  <c r="P14" i="7" s="1"/>
  <c r="M14" i="7"/>
  <c r="J14" i="7"/>
  <c r="K14" i="7" s="1"/>
  <c r="L14" i="7" s="1"/>
  <c r="I14" i="7"/>
  <c r="F14" i="7"/>
  <c r="G14" i="7" s="1"/>
  <c r="H14" i="7" s="1"/>
  <c r="E14" i="7"/>
  <c r="D14" i="7"/>
  <c r="C14" i="7"/>
  <c r="B14" i="7"/>
  <c r="R13" i="7"/>
  <c r="S13" i="7" s="1"/>
  <c r="T13" i="7" s="1"/>
  <c r="Q13" i="7"/>
  <c r="N13" i="7"/>
  <c r="O13" i="7" s="1"/>
  <c r="P13" i="7" s="1"/>
  <c r="M13" i="7"/>
  <c r="J13" i="7"/>
  <c r="K13" i="7" s="1"/>
  <c r="L13" i="7" s="1"/>
  <c r="I13" i="7"/>
  <c r="F13" i="7"/>
  <c r="G13" i="7" s="1"/>
  <c r="H13" i="7" s="1"/>
  <c r="E13" i="7"/>
  <c r="D13" i="7"/>
  <c r="C13" i="7"/>
  <c r="B13" i="7"/>
  <c r="R12" i="7"/>
  <c r="S12" i="7" s="1"/>
  <c r="T12" i="7" s="1"/>
  <c r="Q12" i="7"/>
  <c r="N12" i="7"/>
  <c r="O12" i="7" s="1"/>
  <c r="P12" i="7" s="1"/>
  <c r="M12" i="7"/>
  <c r="J12" i="7"/>
  <c r="K12" i="7" s="1"/>
  <c r="L12" i="7" s="1"/>
  <c r="I12" i="7"/>
  <c r="F12" i="7"/>
  <c r="G12" i="7" s="1"/>
  <c r="H12" i="7" s="1"/>
  <c r="E12" i="7"/>
  <c r="D12" i="7"/>
  <c r="C12" i="7"/>
  <c r="B12" i="7"/>
  <c r="R11" i="7"/>
  <c r="S11" i="7" s="1"/>
  <c r="T11" i="7" s="1"/>
  <c r="Q11" i="7"/>
  <c r="N11" i="7"/>
  <c r="O11" i="7" s="1"/>
  <c r="P11" i="7" s="1"/>
  <c r="M11" i="7"/>
  <c r="J11" i="7"/>
  <c r="K11" i="7" s="1"/>
  <c r="L11" i="7" s="1"/>
  <c r="I11" i="7"/>
  <c r="F11" i="7"/>
  <c r="G11" i="7" s="1"/>
  <c r="H11" i="7" s="1"/>
  <c r="E11" i="7"/>
  <c r="D11" i="7"/>
  <c r="C11" i="7"/>
  <c r="B11" i="7"/>
  <c r="R10" i="7"/>
  <c r="S10" i="7" s="1"/>
  <c r="T10" i="7" s="1"/>
  <c r="Q10" i="7"/>
  <c r="N10" i="7"/>
  <c r="O10" i="7" s="1"/>
  <c r="P10" i="7" s="1"/>
  <c r="M10" i="7"/>
  <c r="J10" i="7"/>
  <c r="K10" i="7" s="1"/>
  <c r="L10" i="7" s="1"/>
  <c r="I10" i="7"/>
  <c r="F10" i="7"/>
  <c r="G10" i="7" s="1"/>
  <c r="H10" i="7" s="1"/>
  <c r="E10" i="7"/>
  <c r="D10" i="7"/>
  <c r="C10" i="7"/>
  <c r="B10" i="7"/>
  <c r="R9" i="7"/>
  <c r="S9" i="7" s="1"/>
  <c r="T9" i="7" s="1"/>
  <c r="Q9" i="7"/>
  <c r="N9" i="7"/>
  <c r="O9" i="7" s="1"/>
  <c r="P9" i="7" s="1"/>
  <c r="M9" i="7"/>
  <c r="J9" i="7"/>
  <c r="K9" i="7" s="1"/>
  <c r="L9" i="7" s="1"/>
  <c r="I9" i="7"/>
  <c r="F9" i="7"/>
  <c r="G9" i="7" s="1"/>
  <c r="H9" i="7" s="1"/>
  <c r="U9" i="7" s="1"/>
  <c r="E9" i="7"/>
  <c r="D9" i="7"/>
  <c r="C9" i="7"/>
  <c r="B9" i="7"/>
  <c r="R8" i="7"/>
  <c r="S8" i="7" s="1"/>
  <c r="T8" i="7" s="1"/>
  <c r="Q8" i="7"/>
  <c r="N8" i="7"/>
  <c r="O8" i="7" s="1"/>
  <c r="P8" i="7" s="1"/>
  <c r="M8" i="7"/>
  <c r="J8" i="7"/>
  <c r="K8" i="7" s="1"/>
  <c r="L8" i="7" s="1"/>
  <c r="I8" i="7"/>
  <c r="F8" i="7"/>
  <c r="G8" i="7" s="1"/>
  <c r="H8" i="7" s="1"/>
  <c r="E8" i="7"/>
  <c r="D8" i="7"/>
  <c r="C8" i="7"/>
  <c r="B8" i="7"/>
  <c r="R7" i="7"/>
  <c r="S7" i="7" s="1"/>
  <c r="T7" i="7" s="1"/>
  <c r="Q7" i="7"/>
  <c r="N7" i="7"/>
  <c r="O7" i="7" s="1"/>
  <c r="P7" i="7" s="1"/>
  <c r="M7" i="7"/>
  <c r="J7" i="7"/>
  <c r="K7" i="7" s="1"/>
  <c r="L7" i="7" s="1"/>
  <c r="I7" i="7"/>
  <c r="F7" i="7"/>
  <c r="G7" i="7" s="1"/>
  <c r="H7" i="7" s="1"/>
  <c r="E7" i="7"/>
  <c r="D7" i="7"/>
  <c r="C7" i="7"/>
  <c r="B7" i="7"/>
  <c r="R6" i="7"/>
  <c r="S6" i="7" s="1"/>
  <c r="T6" i="7" s="1"/>
  <c r="Q6" i="7"/>
  <c r="N6" i="7"/>
  <c r="O6" i="7" s="1"/>
  <c r="P6" i="7" s="1"/>
  <c r="M6" i="7"/>
  <c r="J6" i="7"/>
  <c r="K6" i="7" s="1"/>
  <c r="L6" i="7" s="1"/>
  <c r="I6" i="7"/>
  <c r="F6" i="7"/>
  <c r="G6" i="7" s="1"/>
  <c r="H6" i="7" s="1"/>
  <c r="U6" i="7" s="1"/>
  <c r="E6" i="7"/>
  <c r="D6" i="7"/>
  <c r="C6" i="7"/>
  <c r="B6" i="7"/>
  <c r="R5" i="7"/>
  <c r="Q5" i="7"/>
  <c r="Q23" i="7" s="1"/>
  <c r="N5" i="7"/>
  <c r="M5" i="7"/>
  <c r="M23" i="7" s="1"/>
  <c r="J5" i="7"/>
  <c r="I5" i="7"/>
  <c r="I23" i="7" s="1"/>
  <c r="F5" i="7"/>
  <c r="E5" i="7"/>
  <c r="E23" i="7" s="1"/>
  <c r="D5" i="7"/>
  <c r="C5" i="7"/>
  <c r="B5" i="7"/>
  <c r="M186" i="6"/>
  <c r="L186" i="6"/>
  <c r="G186" i="6"/>
  <c r="F186" i="6"/>
  <c r="E186" i="6"/>
  <c r="I186" i="6" s="1"/>
  <c r="D186" i="6"/>
  <c r="M185" i="6"/>
  <c r="L185" i="6"/>
  <c r="G185" i="6"/>
  <c r="F185" i="6"/>
  <c r="E185" i="6"/>
  <c r="I185" i="6" s="1"/>
  <c r="D185" i="6"/>
  <c r="M184" i="6"/>
  <c r="L184" i="6"/>
  <c r="G184" i="6"/>
  <c r="F184" i="6"/>
  <c r="E184" i="6"/>
  <c r="I184" i="6" s="1"/>
  <c r="D184" i="6"/>
  <c r="M183" i="6"/>
  <c r="L183" i="6"/>
  <c r="G183" i="6"/>
  <c r="F183" i="6"/>
  <c r="E183" i="6"/>
  <c r="I183" i="6" s="1"/>
  <c r="D183" i="6"/>
  <c r="M182" i="6"/>
  <c r="L182" i="6"/>
  <c r="G182" i="6"/>
  <c r="F182" i="6"/>
  <c r="E182" i="6"/>
  <c r="I182" i="6" s="1"/>
  <c r="D182" i="6"/>
  <c r="M181" i="6"/>
  <c r="L181" i="6"/>
  <c r="G181" i="6"/>
  <c r="F181" i="6"/>
  <c r="E181" i="6"/>
  <c r="I181" i="6" s="1"/>
  <c r="D181" i="6"/>
  <c r="M180" i="6"/>
  <c r="L180" i="6"/>
  <c r="G180" i="6"/>
  <c r="F180" i="6"/>
  <c r="E180" i="6"/>
  <c r="I180" i="6" s="1"/>
  <c r="D180" i="6"/>
  <c r="M179" i="6"/>
  <c r="L179" i="6"/>
  <c r="G179" i="6"/>
  <c r="F179" i="6"/>
  <c r="E179" i="6"/>
  <c r="I179" i="6" s="1"/>
  <c r="D179" i="6"/>
  <c r="M178" i="6"/>
  <c r="L178" i="6"/>
  <c r="G178" i="6"/>
  <c r="F178" i="6"/>
  <c r="E178" i="6"/>
  <c r="I178" i="6" s="1"/>
  <c r="D178" i="6"/>
  <c r="M177" i="6"/>
  <c r="L177" i="6"/>
  <c r="G177" i="6"/>
  <c r="F177" i="6"/>
  <c r="E177" i="6"/>
  <c r="I177" i="6" s="1"/>
  <c r="D177" i="6"/>
  <c r="M176" i="6"/>
  <c r="L176" i="6"/>
  <c r="G176" i="6"/>
  <c r="F176" i="6"/>
  <c r="E176" i="6"/>
  <c r="I176" i="6" s="1"/>
  <c r="D176" i="6"/>
  <c r="M175" i="6"/>
  <c r="L175" i="6"/>
  <c r="G175" i="6"/>
  <c r="F175" i="6"/>
  <c r="E175" i="6"/>
  <c r="I175" i="6" s="1"/>
  <c r="D175" i="6"/>
  <c r="M174" i="6"/>
  <c r="L174" i="6"/>
  <c r="G174" i="6"/>
  <c r="F174" i="6"/>
  <c r="E174" i="6"/>
  <c r="I174" i="6" s="1"/>
  <c r="D174" i="6"/>
  <c r="M173" i="6"/>
  <c r="L173" i="6"/>
  <c r="G173" i="6"/>
  <c r="F173" i="6"/>
  <c r="E173" i="6"/>
  <c r="I173" i="6" s="1"/>
  <c r="D173" i="6"/>
  <c r="M172" i="6"/>
  <c r="L172" i="6"/>
  <c r="G172" i="6"/>
  <c r="F172" i="6"/>
  <c r="E172" i="6"/>
  <c r="I172" i="6" s="1"/>
  <c r="D172" i="6"/>
  <c r="M171" i="6"/>
  <c r="L171" i="6"/>
  <c r="G171" i="6"/>
  <c r="F171" i="6"/>
  <c r="E171" i="6"/>
  <c r="I171" i="6" s="1"/>
  <c r="D171" i="6"/>
  <c r="M170" i="6"/>
  <c r="L170" i="6"/>
  <c r="G170" i="6"/>
  <c r="F170" i="6"/>
  <c r="E170" i="6"/>
  <c r="I170" i="6" s="1"/>
  <c r="D170" i="6"/>
  <c r="M169" i="6"/>
  <c r="L169" i="6"/>
  <c r="G169" i="6"/>
  <c r="F169" i="6"/>
  <c r="E169" i="6"/>
  <c r="I169" i="6" s="1"/>
  <c r="D169" i="6"/>
  <c r="M168" i="6"/>
  <c r="L168" i="6"/>
  <c r="G168" i="6"/>
  <c r="F168" i="6"/>
  <c r="E168" i="6"/>
  <c r="I168" i="6" s="1"/>
  <c r="D168" i="6"/>
  <c r="M167" i="6"/>
  <c r="L167" i="6"/>
  <c r="G167" i="6"/>
  <c r="F167" i="6"/>
  <c r="E167" i="6"/>
  <c r="I167" i="6" s="1"/>
  <c r="D167" i="6"/>
  <c r="M166" i="6"/>
  <c r="L166" i="6"/>
  <c r="G166" i="6"/>
  <c r="F166" i="6"/>
  <c r="E166" i="6"/>
  <c r="I166" i="6" s="1"/>
  <c r="D166" i="6"/>
  <c r="M165" i="6"/>
  <c r="L165" i="6"/>
  <c r="G165" i="6"/>
  <c r="F165" i="6"/>
  <c r="E165" i="6"/>
  <c r="I165" i="6" s="1"/>
  <c r="D165" i="6"/>
  <c r="M164" i="6"/>
  <c r="L164" i="6"/>
  <c r="G164" i="6"/>
  <c r="F164" i="6"/>
  <c r="E164" i="6"/>
  <c r="I164" i="6" s="1"/>
  <c r="D164" i="6"/>
  <c r="M163" i="6"/>
  <c r="L163" i="6"/>
  <c r="G163" i="6"/>
  <c r="F163" i="6"/>
  <c r="E163" i="6"/>
  <c r="I163" i="6" s="1"/>
  <c r="D163" i="6"/>
  <c r="M162" i="6"/>
  <c r="L162" i="6"/>
  <c r="G162" i="6"/>
  <c r="F162" i="6"/>
  <c r="E162" i="6"/>
  <c r="I162" i="6" s="1"/>
  <c r="D162" i="6"/>
  <c r="M161" i="6"/>
  <c r="L161" i="6"/>
  <c r="G161" i="6"/>
  <c r="F161" i="6"/>
  <c r="E161" i="6"/>
  <c r="I161" i="6" s="1"/>
  <c r="D161" i="6"/>
  <c r="M160" i="6"/>
  <c r="L160" i="6"/>
  <c r="G160" i="6"/>
  <c r="F160" i="6"/>
  <c r="E160" i="6"/>
  <c r="I160" i="6" s="1"/>
  <c r="D160" i="6"/>
  <c r="M159" i="6"/>
  <c r="L159" i="6"/>
  <c r="G159" i="6"/>
  <c r="F159" i="6"/>
  <c r="E159" i="6"/>
  <c r="I159" i="6" s="1"/>
  <c r="D159" i="6"/>
  <c r="M158" i="6"/>
  <c r="L158" i="6"/>
  <c r="G158" i="6"/>
  <c r="F158" i="6"/>
  <c r="E158" i="6"/>
  <c r="I158" i="6" s="1"/>
  <c r="D158" i="6"/>
  <c r="M157" i="6"/>
  <c r="L157" i="6"/>
  <c r="G157" i="6"/>
  <c r="F157" i="6"/>
  <c r="E157" i="6"/>
  <c r="D157" i="6"/>
  <c r="M156" i="6"/>
  <c r="L156" i="6"/>
  <c r="I156" i="6"/>
  <c r="G156" i="6"/>
  <c r="F156" i="6"/>
  <c r="E156" i="6"/>
  <c r="D156" i="6"/>
  <c r="L155" i="6"/>
  <c r="G155" i="6"/>
  <c r="F155" i="6"/>
  <c r="E155" i="6"/>
  <c r="I155" i="6" s="1"/>
  <c r="D155" i="6"/>
  <c r="L154" i="6"/>
  <c r="G154" i="6"/>
  <c r="F154" i="6"/>
  <c r="E154" i="6"/>
  <c r="I154" i="6" s="1"/>
  <c r="D154" i="6"/>
  <c r="L153" i="6"/>
  <c r="G153" i="6"/>
  <c r="F153" i="6"/>
  <c r="E153" i="6"/>
  <c r="I153" i="6" s="1"/>
  <c r="D153" i="6"/>
  <c r="L152" i="6"/>
  <c r="G152" i="6"/>
  <c r="F152" i="6"/>
  <c r="E152" i="6"/>
  <c r="I152" i="6" s="1"/>
  <c r="D152" i="6"/>
  <c r="M151" i="6"/>
  <c r="L151" i="6"/>
  <c r="G151" i="6"/>
  <c r="F151" i="6"/>
  <c r="E151" i="6"/>
  <c r="I151" i="6" s="1"/>
  <c r="D151" i="6"/>
  <c r="M150" i="6"/>
  <c r="L150" i="6"/>
  <c r="G150" i="6"/>
  <c r="F150" i="6"/>
  <c r="E150" i="6"/>
  <c r="I150" i="6" s="1"/>
  <c r="D150" i="6"/>
  <c r="M149" i="6"/>
  <c r="L149" i="6"/>
  <c r="G149" i="6"/>
  <c r="F149" i="6"/>
  <c r="E149" i="6"/>
  <c r="I149" i="6" s="1"/>
  <c r="D149" i="6"/>
  <c r="M148" i="6"/>
  <c r="L148" i="6"/>
  <c r="G148" i="6"/>
  <c r="F148" i="6"/>
  <c r="E148" i="6"/>
  <c r="I148" i="6" s="1"/>
  <c r="D148" i="6"/>
  <c r="M147" i="6"/>
  <c r="L147" i="6"/>
  <c r="G147" i="6"/>
  <c r="F147" i="6"/>
  <c r="E147" i="6"/>
  <c r="I147" i="6" s="1"/>
  <c r="D147" i="6"/>
  <c r="M146" i="6"/>
  <c r="L146" i="6"/>
  <c r="G146" i="6"/>
  <c r="F146" i="6"/>
  <c r="E146" i="6"/>
  <c r="I146" i="6" s="1"/>
  <c r="D146" i="6"/>
  <c r="M145" i="6"/>
  <c r="L145" i="6"/>
  <c r="G145" i="6"/>
  <c r="F145" i="6"/>
  <c r="E145" i="6"/>
  <c r="I145" i="6" s="1"/>
  <c r="D145" i="6"/>
  <c r="M144" i="6"/>
  <c r="L144" i="6"/>
  <c r="G144" i="6"/>
  <c r="F144" i="6"/>
  <c r="E144" i="6"/>
  <c r="I144" i="6" s="1"/>
  <c r="D144" i="6"/>
  <c r="M143" i="6"/>
  <c r="L143" i="6"/>
  <c r="G143" i="6"/>
  <c r="F143" i="6"/>
  <c r="E143" i="6"/>
  <c r="I143" i="6" s="1"/>
  <c r="D143" i="6"/>
  <c r="M142" i="6"/>
  <c r="L142" i="6"/>
  <c r="G142" i="6"/>
  <c r="F142" i="6"/>
  <c r="E142" i="6"/>
  <c r="I142" i="6" s="1"/>
  <c r="D142" i="6"/>
  <c r="M141" i="6"/>
  <c r="L141" i="6"/>
  <c r="G141" i="6"/>
  <c r="F141" i="6"/>
  <c r="E141" i="6"/>
  <c r="I141" i="6" s="1"/>
  <c r="D141" i="6"/>
  <c r="M140" i="6"/>
  <c r="L140" i="6"/>
  <c r="G140" i="6"/>
  <c r="F140" i="6"/>
  <c r="E140" i="6"/>
  <c r="I140" i="6" s="1"/>
  <c r="D140" i="6"/>
  <c r="M139" i="6"/>
  <c r="L139" i="6"/>
  <c r="G139" i="6"/>
  <c r="F139" i="6"/>
  <c r="E139" i="6"/>
  <c r="I139" i="6" s="1"/>
  <c r="D139" i="6"/>
  <c r="M138" i="6"/>
  <c r="L138" i="6"/>
  <c r="G138" i="6"/>
  <c r="F138" i="6"/>
  <c r="E138" i="6"/>
  <c r="I138" i="6" s="1"/>
  <c r="D138" i="6"/>
  <c r="M137" i="6"/>
  <c r="L137" i="6"/>
  <c r="G137" i="6"/>
  <c r="F137" i="6"/>
  <c r="E137" i="6"/>
  <c r="I137" i="6" s="1"/>
  <c r="D137" i="6"/>
  <c r="M136" i="6"/>
  <c r="L136" i="6"/>
  <c r="G136" i="6"/>
  <c r="F136" i="6"/>
  <c r="E136" i="6"/>
  <c r="I136" i="6" s="1"/>
  <c r="D136" i="6"/>
  <c r="M135" i="6"/>
  <c r="L135" i="6"/>
  <c r="G135" i="6"/>
  <c r="F135" i="6"/>
  <c r="E135" i="6"/>
  <c r="I135" i="6" s="1"/>
  <c r="D135" i="6"/>
  <c r="M134" i="6"/>
  <c r="L134" i="6"/>
  <c r="G134" i="6"/>
  <c r="F134" i="6"/>
  <c r="E134" i="6"/>
  <c r="I134" i="6" s="1"/>
  <c r="D134" i="6"/>
  <c r="M133" i="6"/>
  <c r="L133" i="6"/>
  <c r="G133" i="6"/>
  <c r="F133" i="6"/>
  <c r="E133" i="6"/>
  <c r="I133" i="6" s="1"/>
  <c r="D133" i="6"/>
  <c r="M132" i="6"/>
  <c r="L132" i="6"/>
  <c r="G132" i="6"/>
  <c r="F132" i="6"/>
  <c r="E132" i="6"/>
  <c r="I132" i="6" s="1"/>
  <c r="D132" i="6"/>
  <c r="M131" i="6"/>
  <c r="L131" i="6"/>
  <c r="G131" i="6"/>
  <c r="F131" i="6"/>
  <c r="E131" i="6"/>
  <c r="I131" i="6" s="1"/>
  <c r="D131" i="6"/>
  <c r="M130" i="6"/>
  <c r="L130" i="6"/>
  <c r="G130" i="6"/>
  <c r="F130" i="6"/>
  <c r="E130" i="6"/>
  <c r="I130" i="6" s="1"/>
  <c r="D130" i="6"/>
  <c r="M129" i="6"/>
  <c r="L129" i="6"/>
  <c r="G129" i="6"/>
  <c r="F129" i="6"/>
  <c r="E129" i="6"/>
  <c r="I129" i="6" s="1"/>
  <c r="D129" i="6"/>
  <c r="M128" i="6"/>
  <c r="L128" i="6"/>
  <c r="G128" i="6"/>
  <c r="F128" i="6"/>
  <c r="E128" i="6"/>
  <c r="I128" i="6" s="1"/>
  <c r="D128" i="6"/>
  <c r="M127" i="6"/>
  <c r="L127" i="6"/>
  <c r="G127" i="6"/>
  <c r="F127" i="6"/>
  <c r="E127" i="6"/>
  <c r="I127" i="6" s="1"/>
  <c r="D127" i="6"/>
  <c r="M126" i="6"/>
  <c r="L126" i="6"/>
  <c r="G126" i="6"/>
  <c r="F126" i="6"/>
  <c r="E126" i="6"/>
  <c r="I126" i="6" s="1"/>
  <c r="D126" i="6"/>
  <c r="M125" i="6"/>
  <c r="L125" i="6"/>
  <c r="G125" i="6"/>
  <c r="F125" i="6"/>
  <c r="E125" i="6"/>
  <c r="I125" i="6" s="1"/>
  <c r="D125" i="6"/>
  <c r="M124" i="6"/>
  <c r="L124" i="6"/>
  <c r="G124" i="6"/>
  <c r="F124" i="6"/>
  <c r="E124" i="6"/>
  <c r="I124" i="6" s="1"/>
  <c r="D124" i="6"/>
  <c r="M123" i="6"/>
  <c r="L123" i="6"/>
  <c r="G123" i="6"/>
  <c r="F123" i="6"/>
  <c r="E123" i="6"/>
  <c r="I123" i="6" s="1"/>
  <c r="D123" i="6"/>
  <c r="M122" i="6"/>
  <c r="L122" i="6"/>
  <c r="G122" i="6"/>
  <c r="F122" i="6"/>
  <c r="E122" i="6"/>
  <c r="I122" i="6" s="1"/>
  <c r="D122" i="6"/>
  <c r="M121" i="6"/>
  <c r="L121" i="6"/>
  <c r="G121" i="6"/>
  <c r="F121" i="6"/>
  <c r="E121" i="6"/>
  <c r="I121" i="6" s="1"/>
  <c r="D121" i="6"/>
  <c r="M120" i="6"/>
  <c r="L120" i="6"/>
  <c r="G120" i="6"/>
  <c r="F120" i="6"/>
  <c r="E120" i="6"/>
  <c r="I120" i="6" s="1"/>
  <c r="D120" i="6"/>
  <c r="L119" i="6"/>
  <c r="G119" i="6"/>
  <c r="F119" i="6"/>
  <c r="E119" i="6"/>
  <c r="I119" i="6" s="1"/>
  <c r="D119" i="6"/>
  <c r="L118" i="6"/>
  <c r="G118" i="6"/>
  <c r="F118" i="6"/>
  <c r="E118" i="6"/>
  <c r="I118" i="6" s="1"/>
  <c r="D118" i="6"/>
  <c r="L117" i="6"/>
  <c r="G117" i="6"/>
  <c r="F117" i="6"/>
  <c r="E117" i="6"/>
  <c r="I117" i="6" s="1"/>
  <c r="D117" i="6"/>
  <c r="L116" i="6"/>
  <c r="G116" i="6"/>
  <c r="F116" i="6"/>
  <c r="E116" i="6"/>
  <c r="I116" i="6" s="1"/>
  <c r="D116" i="6"/>
  <c r="L115" i="6"/>
  <c r="G115" i="6"/>
  <c r="F115" i="6"/>
  <c r="E115" i="6"/>
  <c r="I115" i="6" s="1"/>
  <c r="D115" i="6"/>
  <c r="M114" i="6"/>
  <c r="L114" i="6"/>
  <c r="G114" i="6"/>
  <c r="F114" i="6"/>
  <c r="E114" i="6"/>
  <c r="I114" i="6" s="1"/>
  <c r="D114" i="6"/>
  <c r="M113" i="6"/>
  <c r="L113" i="6"/>
  <c r="G113" i="6"/>
  <c r="F113" i="6"/>
  <c r="E113" i="6"/>
  <c r="I113" i="6" s="1"/>
  <c r="D113" i="6"/>
  <c r="M112" i="6"/>
  <c r="L112" i="6"/>
  <c r="G112" i="6"/>
  <c r="F112" i="6"/>
  <c r="E112" i="6"/>
  <c r="I112" i="6" s="1"/>
  <c r="D112" i="6"/>
  <c r="M111" i="6"/>
  <c r="L111" i="6"/>
  <c r="G111" i="6"/>
  <c r="F111" i="6"/>
  <c r="E111" i="6"/>
  <c r="I111" i="6" s="1"/>
  <c r="D111" i="6"/>
  <c r="M110" i="6"/>
  <c r="L110" i="6"/>
  <c r="G110" i="6"/>
  <c r="F110" i="6"/>
  <c r="E110" i="6"/>
  <c r="I110" i="6" s="1"/>
  <c r="D110" i="6"/>
  <c r="M109" i="6"/>
  <c r="L109" i="6"/>
  <c r="G109" i="6"/>
  <c r="F109" i="6"/>
  <c r="E109" i="6"/>
  <c r="I109" i="6" s="1"/>
  <c r="D109" i="6"/>
  <c r="M108" i="6"/>
  <c r="L108" i="6"/>
  <c r="G108" i="6"/>
  <c r="F108" i="6"/>
  <c r="E108" i="6"/>
  <c r="I108" i="6" s="1"/>
  <c r="D108" i="6"/>
  <c r="M107" i="6"/>
  <c r="L107" i="6"/>
  <c r="G107" i="6"/>
  <c r="F107" i="6"/>
  <c r="E107" i="6"/>
  <c r="I107" i="6" s="1"/>
  <c r="D107" i="6"/>
  <c r="M106" i="6"/>
  <c r="L106" i="6"/>
  <c r="G106" i="6"/>
  <c r="F106" i="6"/>
  <c r="E106" i="6"/>
  <c r="I106" i="6" s="1"/>
  <c r="D106" i="6"/>
  <c r="M105" i="6"/>
  <c r="L105" i="6"/>
  <c r="G105" i="6"/>
  <c r="F105" i="6"/>
  <c r="E105" i="6"/>
  <c r="I105" i="6" s="1"/>
  <c r="D105" i="6"/>
  <c r="M104" i="6"/>
  <c r="L104" i="6"/>
  <c r="G104" i="6"/>
  <c r="F104" i="6"/>
  <c r="E104" i="6"/>
  <c r="I104" i="6" s="1"/>
  <c r="D104" i="6"/>
  <c r="M103" i="6"/>
  <c r="L103" i="6"/>
  <c r="G103" i="6"/>
  <c r="F103" i="6"/>
  <c r="E103" i="6"/>
  <c r="I103" i="6" s="1"/>
  <c r="D103" i="6"/>
  <c r="M102" i="6"/>
  <c r="L102" i="6"/>
  <c r="G102" i="6"/>
  <c r="F102" i="6"/>
  <c r="E102" i="6"/>
  <c r="I102" i="6" s="1"/>
  <c r="D102" i="6"/>
  <c r="M101" i="6"/>
  <c r="L101" i="6"/>
  <c r="G101" i="6"/>
  <c r="F101" i="6"/>
  <c r="E101" i="6"/>
  <c r="I101" i="6" s="1"/>
  <c r="D101" i="6"/>
  <c r="M100" i="6"/>
  <c r="L100" i="6"/>
  <c r="G100" i="6"/>
  <c r="F100" i="6"/>
  <c r="E100" i="6"/>
  <c r="I100" i="6" s="1"/>
  <c r="D100" i="6"/>
  <c r="M99" i="6"/>
  <c r="L99" i="6"/>
  <c r="G99" i="6"/>
  <c r="F99" i="6"/>
  <c r="E99" i="6"/>
  <c r="I99" i="6" s="1"/>
  <c r="D99" i="6"/>
  <c r="M98" i="6"/>
  <c r="L98" i="6"/>
  <c r="G98" i="6"/>
  <c r="F98" i="6"/>
  <c r="E98" i="6"/>
  <c r="I98" i="6" s="1"/>
  <c r="D98" i="6"/>
  <c r="M97" i="6"/>
  <c r="L97" i="6"/>
  <c r="G97" i="6"/>
  <c r="F97" i="6"/>
  <c r="E97" i="6"/>
  <c r="I97" i="6" s="1"/>
  <c r="D97" i="6"/>
  <c r="M96" i="6"/>
  <c r="L96" i="6"/>
  <c r="G96" i="6"/>
  <c r="F96" i="6"/>
  <c r="E96" i="6"/>
  <c r="I96" i="6" s="1"/>
  <c r="D96" i="6"/>
  <c r="M95" i="6"/>
  <c r="L95" i="6"/>
  <c r="G95" i="6"/>
  <c r="F95" i="6"/>
  <c r="E95" i="6"/>
  <c r="I95" i="6" s="1"/>
  <c r="D95" i="6"/>
  <c r="M94" i="6"/>
  <c r="L94" i="6"/>
  <c r="G94" i="6"/>
  <c r="F94" i="6"/>
  <c r="E94" i="6"/>
  <c r="I94" i="6" s="1"/>
  <c r="D94" i="6"/>
  <c r="M93" i="6"/>
  <c r="L93" i="6"/>
  <c r="G93" i="6"/>
  <c r="F93" i="6"/>
  <c r="E93" i="6"/>
  <c r="I93" i="6" s="1"/>
  <c r="D93" i="6"/>
  <c r="M92" i="6"/>
  <c r="L92" i="6"/>
  <c r="G92" i="6"/>
  <c r="F92" i="6"/>
  <c r="E92" i="6"/>
  <c r="I92" i="6" s="1"/>
  <c r="D92" i="6"/>
  <c r="M91" i="6"/>
  <c r="L91" i="6"/>
  <c r="G91" i="6"/>
  <c r="F91" i="6"/>
  <c r="E91" i="6"/>
  <c r="I91" i="6" s="1"/>
  <c r="D91" i="6"/>
  <c r="M90" i="6"/>
  <c r="L90" i="6"/>
  <c r="G90" i="6"/>
  <c r="F90" i="6"/>
  <c r="E90" i="6"/>
  <c r="I90" i="6" s="1"/>
  <c r="D90" i="6"/>
  <c r="M89" i="6"/>
  <c r="L89" i="6"/>
  <c r="G89" i="6"/>
  <c r="F89" i="6"/>
  <c r="E89" i="6"/>
  <c r="I89" i="6" s="1"/>
  <c r="D89" i="6"/>
  <c r="M88" i="6"/>
  <c r="L88" i="6"/>
  <c r="G88" i="6"/>
  <c r="F88" i="6"/>
  <c r="E88" i="6"/>
  <c r="I88" i="6" s="1"/>
  <c r="D88" i="6"/>
  <c r="M87" i="6"/>
  <c r="L87" i="6"/>
  <c r="G87" i="6"/>
  <c r="F87" i="6"/>
  <c r="E87" i="6"/>
  <c r="I87" i="6" s="1"/>
  <c r="D87" i="6"/>
  <c r="M86" i="6"/>
  <c r="L86" i="6"/>
  <c r="G86" i="6"/>
  <c r="F86" i="6"/>
  <c r="E86" i="6"/>
  <c r="I86" i="6" s="1"/>
  <c r="D86" i="6"/>
  <c r="M85" i="6"/>
  <c r="L85" i="6"/>
  <c r="G85" i="6"/>
  <c r="F85" i="6"/>
  <c r="E85" i="6"/>
  <c r="I85" i="6" s="1"/>
  <c r="D85" i="6"/>
  <c r="M84" i="6"/>
  <c r="L84" i="6"/>
  <c r="G84" i="6"/>
  <c r="F84" i="6"/>
  <c r="E84" i="6"/>
  <c r="I84" i="6" s="1"/>
  <c r="D84" i="6"/>
  <c r="L83" i="6"/>
  <c r="G83" i="6"/>
  <c r="F83" i="6"/>
  <c r="E83" i="6"/>
  <c r="I83" i="6" s="1"/>
  <c r="D83" i="6"/>
  <c r="L82" i="6"/>
  <c r="G82" i="6"/>
  <c r="F82" i="6"/>
  <c r="E82" i="6"/>
  <c r="I82" i="6" s="1"/>
  <c r="D82" i="6"/>
  <c r="L81" i="6"/>
  <c r="G81" i="6"/>
  <c r="F81" i="6"/>
  <c r="E81" i="6"/>
  <c r="I81" i="6" s="1"/>
  <c r="D81" i="6"/>
  <c r="L80" i="6"/>
  <c r="G80" i="6"/>
  <c r="F80" i="6"/>
  <c r="E80" i="6"/>
  <c r="I80" i="6" s="1"/>
  <c r="D80" i="6"/>
  <c r="L79" i="6"/>
  <c r="G79" i="6"/>
  <c r="F79" i="6"/>
  <c r="E79" i="6"/>
  <c r="I79" i="6" s="1"/>
  <c r="D79" i="6"/>
  <c r="L78" i="6"/>
  <c r="G78" i="6"/>
  <c r="F78" i="6"/>
  <c r="E78" i="6"/>
  <c r="I78" i="6" s="1"/>
  <c r="D78" i="6"/>
  <c r="M77" i="6"/>
  <c r="L77" i="6"/>
  <c r="G77" i="6"/>
  <c r="F77" i="6"/>
  <c r="E77" i="6"/>
  <c r="I77" i="6" s="1"/>
  <c r="D77" i="6"/>
  <c r="M76" i="6"/>
  <c r="L76" i="6"/>
  <c r="G76" i="6"/>
  <c r="F76" i="6"/>
  <c r="E76" i="6"/>
  <c r="I76" i="6" s="1"/>
  <c r="D76" i="6"/>
  <c r="M75" i="6"/>
  <c r="L75" i="6"/>
  <c r="G75" i="6"/>
  <c r="F75" i="6"/>
  <c r="E75" i="6"/>
  <c r="I75" i="6" s="1"/>
  <c r="D75" i="6"/>
  <c r="M74" i="6"/>
  <c r="L74" i="6"/>
  <c r="G74" i="6"/>
  <c r="F74" i="6"/>
  <c r="E74" i="6"/>
  <c r="I74" i="6" s="1"/>
  <c r="D74" i="6"/>
  <c r="M73" i="6"/>
  <c r="L73" i="6"/>
  <c r="G73" i="6"/>
  <c r="F73" i="6"/>
  <c r="E73" i="6"/>
  <c r="I73" i="6" s="1"/>
  <c r="D73" i="6"/>
  <c r="M72" i="6"/>
  <c r="L72" i="6"/>
  <c r="G72" i="6"/>
  <c r="F72" i="6"/>
  <c r="E72" i="6"/>
  <c r="I72" i="6" s="1"/>
  <c r="D72" i="6"/>
  <c r="M71" i="6"/>
  <c r="L71" i="6"/>
  <c r="G71" i="6"/>
  <c r="F71" i="6"/>
  <c r="E71" i="6"/>
  <c r="I71" i="6" s="1"/>
  <c r="D71" i="6"/>
  <c r="M70" i="6"/>
  <c r="L70" i="6"/>
  <c r="G70" i="6"/>
  <c r="F70" i="6"/>
  <c r="E70" i="6"/>
  <c r="I70" i="6" s="1"/>
  <c r="D70" i="6"/>
  <c r="M69" i="6"/>
  <c r="L69" i="6"/>
  <c r="G69" i="6"/>
  <c r="F69" i="6"/>
  <c r="E69" i="6"/>
  <c r="I69" i="6" s="1"/>
  <c r="D69" i="6"/>
  <c r="M68" i="6"/>
  <c r="L68" i="6"/>
  <c r="G68" i="6"/>
  <c r="F68" i="6"/>
  <c r="E68" i="6"/>
  <c r="I68" i="6" s="1"/>
  <c r="D68" i="6"/>
  <c r="M67" i="6"/>
  <c r="L67" i="6"/>
  <c r="G67" i="6"/>
  <c r="F67" i="6"/>
  <c r="E67" i="6"/>
  <c r="I67" i="6" s="1"/>
  <c r="D67" i="6"/>
  <c r="M66" i="6"/>
  <c r="L66" i="6"/>
  <c r="G66" i="6"/>
  <c r="F66" i="6"/>
  <c r="E66" i="6"/>
  <c r="I66" i="6" s="1"/>
  <c r="D66" i="6"/>
  <c r="M65" i="6"/>
  <c r="L65" i="6"/>
  <c r="G65" i="6"/>
  <c r="F65" i="6"/>
  <c r="E65" i="6"/>
  <c r="I65" i="6" s="1"/>
  <c r="D65" i="6"/>
  <c r="M64" i="6"/>
  <c r="L64" i="6"/>
  <c r="G64" i="6"/>
  <c r="F64" i="6"/>
  <c r="E64" i="6"/>
  <c r="I64" i="6" s="1"/>
  <c r="D64" i="6"/>
  <c r="M63" i="6"/>
  <c r="L63" i="6"/>
  <c r="G63" i="6"/>
  <c r="F63" i="6"/>
  <c r="E63" i="6"/>
  <c r="I63" i="6" s="1"/>
  <c r="D63" i="6"/>
  <c r="M62" i="6"/>
  <c r="L62" i="6"/>
  <c r="G62" i="6"/>
  <c r="F62" i="6"/>
  <c r="E62" i="6"/>
  <c r="I62" i="6" s="1"/>
  <c r="D62" i="6"/>
  <c r="M61" i="6"/>
  <c r="L61" i="6"/>
  <c r="G61" i="6"/>
  <c r="F61" i="6"/>
  <c r="E61" i="6"/>
  <c r="I61" i="6" s="1"/>
  <c r="D61" i="6"/>
  <c r="M60" i="6"/>
  <c r="L60" i="6"/>
  <c r="G60" i="6"/>
  <c r="F60" i="6"/>
  <c r="E60" i="6"/>
  <c r="I60" i="6" s="1"/>
  <c r="D60" i="6"/>
  <c r="M59" i="6"/>
  <c r="L59" i="6"/>
  <c r="G59" i="6"/>
  <c r="F59" i="6"/>
  <c r="E59" i="6"/>
  <c r="I59" i="6" s="1"/>
  <c r="D59" i="6"/>
  <c r="M58" i="6"/>
  <c r="L58" i="6"/>
  <c r="G58" i="6"/>
  <c r="F58" i="6"/>
  <c r="E58" i="6"/>
  <c r="I58" i="6" s="1"/>
  <c r="D58" i="6"/>
  <c r="M57" i="6"/>
  <c r="L57" i="6"/>
  <c r="G57" i="6"/>
  <c r="F57" i="6"/>
  <c r="E57" i="6"/>
  <c r="I57" i="6" s="1"/>
  <c r="D57" i="6"/>
  <c r="M56" i="6"/>
  <c r="L56" i="6"/>
  <c r="G56" i="6"/>
  <c r="F56" i="6"/>
  <c r="E56" i="6"/>
  <c r="I56" i="6" s="1"/>
  <c r="D56" i="6"/>
  <c r="M55" i="6"/>
  <c r="L55" i="6"/>
  <c r="G55" i="6"/>
  <c r="F55" i="6"/>
  <c r="E55" i="6"/>
  <c r="I55" i="6" s="1"/>
  <c r="D55" i="6"/>
  <c r="M54" i="6"/>
  <c r="L54" i="6"/>
  <c r="G54" i="6"/>
  <c r="F54" i="6"/>
  <c r="E54" i="6"/>
  <c r="I54" i="6" s="1"/>
  <c r="D54" i="6"/>
  <c r="M53" i="6"/>
  <c r="L53" i="6"/>
  <c r="G53" i="6"/>
  <c r="F53" i="6"/>
  <c r="E53" i="6"/>
  <c r="I53" i="6" s="1"/>
  <c r="D53" i="6"/>
  <c r="M52" i="6"/>
  <c r="L52" i="6"/>
  <c r="G52" i="6"/>
  <c r="F52" i="6"/>
  <c r="E52" i="6"/>
  <c r="I52" i="6" s="1"/>
  <c r="D52" i="6"/>
  <c r="M51" i="6"/>
  <c r="L51" i="6"/>
  <c r="G51" i="6"/>
  <c r="F51" i="6"/>
  <c r="E51" i="6"/>
  <c r="I51" i="6" s="1"/>
  <c r="D51" i="6"/>
  <c r="M50" i="6"/>
  <c r="L50" i="6"/>
  <c r="G50" i="6"/>
  <c r="F50" i="6"/>
  <c r="E50" i="6"/>
  <c r="I50" i="6" s="1"/>
  <c r="D50" i="6"/>
  <c r="M49" i="6"/>
  <c r="L49" i="6"/>
  <c r="G49" i="6"/>
  <c r="F49" i="6"/>
  <c r="E49" i="6"/>
  <c r="I49" i="6" s="1"/>
  <c r="D49" i="6"/>
  <c r="M48" i="6"/>
  <c r="L48" i="6"/>
  <c r="G48" i="6"/>
  <c r="F48" i="6"/>
  <c r="E48" i="6"/>
  <c r="I48" i="6" s="1"/>
  <c r="D48" i="6"/>
  <c r="L47" i="6"/>
  <c r="G47" i="6"/>
  <c r="F47" i="6"/>
  <c r="E47" i="6"/>
  <c r="I47" i="6" s="1"/>
  <c r="D47" i="6"/>
  <c r="L46" i="6"/>
  <c r="G46" i="6"/>
  <c r="F46" i="6"/>
  <c r="E46" i="6"/>
  <c r="I46" i="6" s="1"/>
  <c r="D46" i="6"/>
  <c r="L45" i="6"/>
  <c r="G45" i="6"/>
  <c r="F45" i="6"/>
  <c r="E45" i="6"/>
  <c r="I45" i="6" s="1"/>
  <c r="D45" i="6"/>
  <c r="L44" i="6"/>
  <c r="G44" i="6"/>
  <c r="F44" i="6"/>
  <c r="E44" i="6"/>
  <c r="I44" i="6" s="1"/>
  <c r="D44" i="6"/>
  <c r="L43" i="6"/>
  <c r="G43" i="6"/>
  <c r="F43" i="6"/>
  <c r="E43" i="6"/>
  <c r="I43" i="6" s="1"/>
  <c r="D43" i="6"/>
  <c r="L42" i="6"/>
  <c r="G42" i="6"/>
  <c r="F42" i="6"/>
  <c r="E42" i="6"/>
  <c r="I42" i="6" s="1"/>
  <c r="D42" i="6"/>
  <c r="L41" i="6"/>
  <c r="G41" i="6"/>
  <c r="F41" i="6"/>
  <c r="E41" i="6"/>
  <c r="I41" i="6" s="1"/>
  <c r="D41" i="6"/>
  <c r="L40" i="6"/>
  <c r="G40" i="6"/>
  <c r="F40" i="6"/>
  <c r="E40" i="6"/>
  <c r="I40" i="6" s="1"/>
  <c r="D40" i="6"/>
  <c r="L39" i="6"/>
  <c r="G39" i="6"/>
  <c r="F39" i="6"/>
  <c r="E39" i="6"/>
  <c r="I39" i="6" s="1"/>
  <c r="D39" i="6"/>
  <c r="M38" i="6"/>
  <c r="L38" i="6"/>
  <c r="G38" i="6"/>
  <c r="F38" i="6"/>
  <c r="E38" i="6"/>
  <c r="I38" i="6" s="1"/>
  <c r="D38" i="6"/>
  <c r="M37" i="6"/>
  <c r="L37" i="6"/>
  <c r="G37" i="6"/>
  <c r="F37" i="6"/>
  <c r="E37" i="6"/>
  <c r="I37" i="6" s="1"/>
  <c r="D37" i="6"/>
  <c r="M36" i="6"/>
  <c r="L36" i="6"/>
  <c r="G36" i="6"/>
  <c r="F36" i="6"/>
  <c r="E36" i="6"/>
  <c r="I36" i="6" s="1"/>
  <c r="D36" i="6"/>
  <c r="M35" i="6"/>
  <c r="L35" i="6"/>
  <c r="G35" i="6"/>
  <c r="F35" i="6"/>
  <c r="E35" i="6"/>
  <c r="I35" i="6" s="1"/>
  <c r="D35" i="6"/>
  <c r="M34" i="6"/>
  <c r="L34" i="6"/>
  <c r="G34" i="6"/>
  <c r="F34" i="6"/>
  <c r="E34" i="6"/>
  <c r="I34" i="6" s="1"/>
  <c r="D34" i="6"/>
  <c r="M33" i="6"/>
  <c r="L33" i="6"/>
  <c r="G33" i="6"/>
  <c r="F33" i="6"/>
  <c r="E33" i="6"/>
  <c r="I33" i="6" s="1"/>
  <c r="D33" i="6"/>
  <c r="M32" i="6"/>
  <c r="L32" i="6"/>
  <c r="G32" i="6"/>
  <c r="F32" i="6"/>
  <c r="E32" i="6"/>
  <c r="I32" i="6" s="1"/>
  <c r="D32" i="6"/>
  <c r="M31" i="6"/>
  <c r="L31" i="6"/>
  <c r="G31" i="6"/>
  <c r="F31" i="6"/>
  <c r="E31" i="6"/>
  <c r="I31" i="6" s="1"/>
  <c r="D31" i="6"/>
  <c r="M30" i="6"/>
  <c r="L30" i="6"/>
  <c r="G30" i="6"/>
  <c r="F30" i="6"/>
  <c r="E30" i="6"/>
  <c r="I30" i="6" s="1"/>
  <c r="D30" i="6"/>
  <c r="M29" i="6"/>
  <c r="L29" i="6"/>
  <c r="G29" i="6"/>
  <c r="F29" i="6"/>
  <c r="E29" i="6"/>
  <c r="I29" i="6" s="1"/>
  <c r="D29" i="6"/>
  <c r="M28" i="6"/>
  <c r="L28" i="6"/>
  <c r="G28" i="6"/>
  <c r="F28" i="6"/>
  <c r="E28" i="6"/>
  <c r="I28" i="6" s="1"/>
  <c r="D28" i="6"/>
  <c r="M27" i="6"/>
  <c r="L27" i="6"/>
  <c r="G27" i="6"/>
  <c r="F27" i="6"/>
  <c r="E27" i="6"/>
  <c r="I27" i="6" s="1"/>
  <c r="D27" i="6"/>
  <c r="M26" i="6"/>
  <c r="L26" i="6"/>
  <c r="G26" i="6"/>
  <c r="F26" i="6"/>
  <c r="E26" i="6"/>
  <c r="I26" i="6" s="1"/>
  <c r="D26" i="6"/>
  <c r="M25" i="6"/>
  <c r="L25" i="6"/>
  <c r="G25" i="6"/>
  <c r="F25" i="6"/>
  <c r="E25" i="6"/>
  <c r="I25" i="6" s="1"/>
  <c r="D25" i="6"/>
  <c r="M24" i="6"/>
  <c r="L24" i="6"/>
  <c r="G24" i="6"/>
  <c r="F24" i="6"/>
  <c r="E24" i="6"/>
  <c r="I24" i="6" s="1"/>
  <c r="D24" i="6"/>
  <c r="M23" i="6"/>
  <c r="L23" i="6"/>
  <c r="G23" i="6"/>
  <c r="F23" i="6"/>
  <c r="E23" i="6"/>
  <c r="I23" i="6" s="1"/>
  <c r="D23" i="6"/>
  <c r="M22" i="6"/>
  <c r="L22" i="6"/>
  <c r="G22" i="6"/>
  <c r="F22" i="6"/>
  <c r="E22" i="6"/>
  <c r="I22" i="6" s="1"/>
  <c r="D22" i="6"/>
  <c r="M21" i="6"/>
  <c r="L21" i="6"/>
  <c r="G21" i="6"/>
  <c r="F21" i="6"/>
  <c r="E21" i="6"/>
  <c r="I21" i="6" s="1"/>
  <c r="D21" i="6"/>
  <c r="M20" i="6"/>
  <c r="L20" i="6"/>
  <c r="G20" i="6"/>
  <c r="F20" i="6"/>
  <c r="E20" i="6"/>
  <c r="I20" i="6" s="1"/>
  <c r="D20" i="6"/>
  <c r="M19" i="6"/>
  <c r="L19" i="6"/>
  <c r="G19" i="6"/>
  <c r="F19" i="6"/>
  <c r="E19" i="6"/>
  <c r="I19" i="6" s="1"/>
  <c r="D19" i="6"/>
  <c r="M18" i="6"/>
  <c r="L18" i="6"/>
  <c r="G18" i="6"/>
  <c r="F18" i="6"/>
  <c r="E18" i="6"/>
  <c r="I18" i="6" s="1"/>
  <c r="D18" i="6"/>
  <c r="M17" i="6"/>
  <c r="L17" i="6"/>
  <c r="G17" i="6"/>
  <c r="F17" i="6"/>
  <c r="E17" i="6"/>
  <c r="I17" i="6" s="1"/>
  <c r="D17" i="6"/>
  <c r="M16" i="6"/>
  <c r="L16" i="6"/>
  <c r="G16" i="6"/>
  <c r="F16" i="6"/>
  <c r="E16" i="6"/>
  <c r="I16" i="6" s="1"/>
  <c r="D16" i="6"/>
  <c r="M15" i="6"/>
  <c r="L15" i="6"/>
  <c r="G15" i="6"/>
  <c r="F15" i="6"/>
  <c r="E15" i="6"/>
  <c r="I15" i="6" s="1"/>
  <c r="D15" i="6"/>
  <c r="M14" i="6"/>
  <c r="L14" i="6"/>
  <c r="G14" i="6"/>
  <c r="F14" i="6"/>
  <c r="E14" i="6"/>
  <c r="I14" i="6" s="1"/>
  <c r="D14" i="6"/>
  <c r="M13" i="6"/>
  <c r="L13" i="6"/>
  <c r="G13" i="6"/>
  <c r="F13" i="6"/>
  <c r="E13" i="6"/>
  <c r="I13" i="6" s="1"/>
  <c r="D13" i="6"/>
  <c r="M12" i="6"/>
  <c r="L12" i="6"/>
  <c r="G12" i="6"/>
  <c r="F12" i="6"/>
  <c r="E12" i="6"/>
  <c r="I12" i="6" s="1"/>
  <c r="D12" i="6"/>
  <c r="L11" i="6"/>
  <c r="G11" i="6"/>
  <c r="F11" i="6"/>
  <c r="E11" i="6"/>
  <c r="I11" i="6" s="1"/>
  <c r="D11" i="6"/>
  <c r="L10" i="6"/>
  <c r="G10" i="6"/>
  <c r="F10" i="6"/>
  <c r="E10" i="6"/>
  <c r="I10" i="6" s="1"/>
  <c r="D10" i="6"/>
  <c r="L9" i="6"/>
  <c r="G9" i="6"/>
  <c r="F9" i="6"/>
  <c r="E9" i="6"/>
  <c r="I9" i="6" s="1"/>
  <c r="D9" i="6"/>
  <c r="L8" i="6"/>
  <c r="G8" i="6"/>
  <c r="F8" i="6"/>
  <c r="E8" i="6"/>
  <c r="I8" i="6" s="1"/>
  <c r="D8" i="6"/>
  <c r="L7" i="6"/>
  <c r="G7" i="6"/>
  <c r="F7" i="6"/>
  <c r="E7" i="6"/>
  <c r="I7" i="6" s="1"/>
  <c r="D7" i="6"/>
  <c r="L6" i="6"/>
  <c r="G6" i="6"/>
  <c r="F6" i="6"/>
  <c r="E6" i="6"/>
  <c r="I6" i="6" s="1"/>
  <c r="D6" i="6"/>
  <c r="L5" i="6"/>
  <c r="G5" i="6"/>
  <c r="F5" i="6"/>
  <c r="E5" i="6"/>
  <c r="I5" i="6" s="1"/>
  <c r="D5" i="6"/>
  <c r="L66" i="5"/>
  <c r="I66" i="5"/>
  <c r="M66" i="5" s="1"/>
  <c r="F66" i="5"/>
  <c r="D66" i="5"/>
  <c r="C66" i="5"/>
  <c r="A66" i="5"/>
  <c r="L65" i="5"/>
  <c r="I65" i="5"/>
  <c r="M65" i="5" s="1"/>
  <c r="F65" i="5"/>
  <c r="D65" i="5"/>
  <c r="C65" i="5"/>
  <c r="A65" i="5"/>
  <c r="L64" i="5"/>
  <c r="I64" i="5"/>
  <c r="M64" i="5" s="1"/>
  <c r="F64" i="5"/>
  <c r="D64" i="5"/>
  <c r="C64" i="5"/>
  <c r="A64" i="5"/>
  <c r="L63" i="5"/>
  <c r="I63" i="5"/>
  <c r="M63" i="5" s="1"/>
  <c r="F63" i="5"/>
  <c r="D63" i="5"/>
  <c r="C63" i="5"/>
  <c r="A63" i="5"/>
  <c r="L62" i="5"/>
  <c r="I62" i="5"/>
  <c r="M62" i="5" s="1"/>
  <c r="F62" i="5"/>
  <c r="D62" i="5"/>
  <c r="C62" i="5"/>
  <c r="A62" i="5"/>
  <c r="L61" i="5"/>
  <c r="I61" i="5"/>
  <c r="M61" i="5" s="1"/>
  <c r="F61" i="5"/>
  <c r="D61" i="5"/>
  <c r="C61" i="5"/>
  <c r="A61" i="5"/>
  <c r="L60" i="5"/>
  <c r="I60" i="5"/>
  <c r="M60" i="5" s="1"/>
  <c r="F60" i="5"/>
  <c r="D60" i="5"/>
  <c r="C60" i="5"/>
  <c r="A60" i="5"/>
  <c r="L59" i="5"/>
  <c r="I59" i="5"/>
  <c r="M59" i="5" s="1"/>
  <c r="F59" i="5"/>
  <c r="D59" i="5"/>
  <c r="C59" i="5"/>
  <c r="A59" i="5"/>
  <c r="L58" i="5"/>
  <c r="I58" i="5"/>
  <c r="M58" i="5" s="1"/>
  <c r="F58" i="5"/>
  <c r="D58" i="5"/>
  <c r="C58" i="5"/>
  <c r="A58" i="5"/>
  <c r="L57" i="5"/>
  <c r="I57" i="5"/>
  <c r="M57" i="5" s="1"/>
  <c r="F57" i="5"/>
  <c r="D57" i="5"/>
  <c r="C57" i="5"/>
  <c r="A57" i="5"/>
  <c r="L56" i="5"/>
  <c r="I56" i="5"/>
  <c r="M56" i="5" s="1"/>
  <c r="F56" i="5"/>
  <c r="D56" i="5"/>
  <c r="C56" i="5"/>
  <c r="A56" i="5"/>
  <c r="L55" i="5"/>
  <c r="I55" i="5"/>
  <c r="M55" i="5" s="1"/>
  <c r="F55" i="5"/>
  <c r="D55" i="5"/>
  <c r="C55" i="5"/>
  <c r="A55" i="5"/>
  <c r="L54" i="5"/>
  <c r="I54" i="5"/>
  <c r="M54" i="5" s="1"/>
  <c r="F54" i="5"/>
  <c r="D54" i="5"/>
  <c r="C54" i="5"/>
  <c r="A54" i="5"/>
  <c r="L53" i="5"/>
  <c r="I53" i="5"/>
  <c r="M53" i="5" s="1"/>
  <c r="F53" i="5"/>
  <c r="D53" i="5"/>
  <c r="C53" i="5"/>
  <c r="A53" i="5"/>
  <c r="L52" i="5"/>
  <c r="I52" i="5"/>
  <c r="M52" i="5" s="1"/>
  <c r="F52" i="5"/>
  <c r="D52" i="5"/>
  <c r="C52" i="5"/>
  <c r="A52" i="5"/>
  <c r="L51" i="5"/>
  <c r="I51" i="5"/>
  <c r="M51" i="5" s="1"/>
  <c r="F51" i="5"/>
  <c r="D51" i="5"/>
  <c r="C51" i="5"/>
  <c r="A51" i="5"/>
  <c r="L50" i="5"/>
  <c r="I50" i="5"/>
  <c r="M50" i="5" s="1"/>
  <c r="F50" i="5"/>
  <c r="D50" i="5"/>
  <c r="C50" i="5"/>
  <c r="A50" i="5"/>
  <c r="L49" i="5"/>
  <c r="I49" i="5"/>
  <c r="M49" i="5" s="1"/>
  <c r="F49" i="5"/>
  <c r="D49" i="5"/>
  <c r="C49" i="5"/>
  <c r="A49" i="5"/>
  <c r="L48" i="5"/>
  <c r="I48" i="5"/>
  <c r="M48" i="5" s="1"/>
  <c r="F48" i="5"/>
  <c r="D48" i="5"/>
  <c r="C48" i="5"/>
  <c r="A48" i="5"/>
  <c r="L47" i="5"/>
  <c r="I47" i="5"/>
  <c r="M47" i="5" s="1"/>
  <c r="F47" i="5"/>
  <c r="D47" i="5"/>
  <c r="C47" i="5"/>
  <c r="A47" i="5"/>
  <c r="L46" i="5"/>
  <c r="I46" i="5"/>
  <c r="M46" i="5" s="1"/>
  <c r="F46" i="5"/>
  <c r="D46" i="5"/>
  <c r="C46" i="5"/>
  <c r="A46" i="5"/>
  <c r="L45" i="5"/>
  <c r="I45" i="5"/>
  <c r="M45" i="5" s="1"/>
  <c r="F45" i="5"/>
  <c r="D45" i="5"/>
  <c r="C45" i="5"/>
  <c r="A45" i="5"/>
  <c r="L44" i="5"/>
  <c r="I44" i="5"/>
  <c r="M44" i="5" s="1"/>
  <c r="F44" i="5"/>
  <c r="D44" i="5"/>
  <c r="C44" i="5"/>
  <c r="A44" i="5"/>
  <c r="L43" i="5"/>
  <c r="I43" i="5"/>
  <c r="M43" i="5" s="1"/>
  <c r="F43" i="5"/>
  <c r="D43" i="5"/>
  <c r="C43" i="5"/>
  <c r="A43" i="5"/>
  <c r="L42" i="5"/>
  <c r="I42" i="5"/>
  <c r="M42" i="5" s="1"/>
  <c r="F42" i="5"/>
  <c r="D42" i="5"/>
  <c r="C42" i="5"/>
  <c r="A42" i="5"/>
  <c r="L41" i="5"/>
  <c r="I41" i="5"/>
  <c r="M41" i="5" s="1"/>
  <c r="F41" i="5"/>
  <c r="D41" i="5"/>
  <c r="C41" i="5"/>
  <c r="A41" i="5"/>
  <c r="L40" i="5"/>
  <c r="I40" i="5"/>
  <c r="M40" i="5" s="1"/>
  <c r="F40" i="5"/>
  <c r="D40" i="5"/>
  <c r="C40" i="5"/>
  <c r="A40" i="5"/>
  <c r="L39" i="5"/>
  <c r="I39" i="5"/>
  <c r="M39" i="5" s="1"/>
  <c r="F39" i="5"/>
  <c r="D39" i="5"/>
  <c r="C39" i="5"/>
  <c r="A39" i="5"/>
  <c r="L38" i="5"/>
  <c r="I38" i="5"/>
  <c r="M38" i="5" s="1"/>
  <c r="F38" i="5"/>
  <c r="D38" i="5"/>
  <c r="C38" i="5"/>
  <c r="A38" i="5"/>
  <c r="L37" i="5"/>
  <c r="I37" i="5"/>
  <c r="M37" i="5" s="1"/>
  <c r="F37" i="5"/>
  <c r="D37" i="5"/>
  <c r="C37" i="5"/>
  <c r="A37" i="5"/>
  <c r="L36" i="5"/>
  <c r="I36" i="5"/>
  <c r="M36" i="5" s="1"/>
  <c r="F36" i="5"/>
  <c r="D36" i="5"/>
  <c r="C36" i="5"/>
  <c r="A36" i="5"/>
  <c r="L35" i="5"/>
  <c r="I35" i="5"/>
  <c r="M35" i="5" s="1"/>
  <c r="F35" i="5"/>
  <c r="D35" i="5"/>
  <c r="C35" i="5"/>
  <c r="A35" i="5"/>
  <c r="L34" i="5"/>
  <c r="I34" i="5"/>
  <c r="M34" i="5" s="1"/>
  <c r="F34" i="5"/>
  <c r="D34" i="5"/>
  <c r="C34" i="5"/>
  <c r="A34" i="5"/>
  <c r="L33" i="5"/>
  <c r="I33" i="5"/>
  <c r="M33" i="5" s="1"/>
  <c r="F33" i="5"/>
  <c r="D33" i="5"/>
  <c r="C33" i="5"/>
  <c r="A33" i="5"/>
  <c r="L32" i="5"/>
  <c r="I32" i="5"/>
  <c r="M32" i="5" s="1"/>
  <c r="F32" i="5"/>
  <c r="D32" i="5"/>
  <c r="C32" i="5"/>
  <c r="A32" i="5"/>
  <c r="L31" i="5"/>
  <c r="I31" i="5"/>
  <c r="M31" i="5" s="1"/>
  <c r="F31" i="5"/>
  <c r="D31" i="5"/>
  <c r="C31" i="5"/>
  <c r="A31" i="5"/>
  <c r="L30" i="5"/>
  <c r="I30" i="5"/>
  <c r="M30" i="5" s="1"/>
  <c r="F30" i="5"/>
  <c r="D30" i="5"/>
  <c r="C30" i="5"/>
  <c r="A30" i="5"/>
  <c r="L29" i="5"/>
  <c r="I29" i="5"/>
  <c r="M29" i="5" s="1"/>
  <c r="F29" i="5"/>
  <c r="D29" i="5"/>
  <c r="C29" i="5"/>
  <c r="A29" i="5"/>
  <c r="L28" i="5"/>
  <c r="I28" i="5"/>
  <c r="M28" i="5" s="1"/>
  <c r="F28" i="5"/>
  <c r="D28" i="5"/>
  <c r="C28" i="5"/>
  <c r="A28" i="5"/>
  <c r="L27" i="5"/>
  <c r="I27" i="5"/>
  <c r="M27" i="5" s="1"/>
  <c r="F27" i="5"/>
  <c r="D27" i="5"/>
  <c r="C27" i="5"/>
  <c r="A27" i="5"/>
  <c r="L26" i="5"/>
  <c r="I26" i="5"/>
  <c r="M26" i="5" s="1"/>
  <c r="F26" i="5"/>
  <c r="D26" i="5"/>
  <c r="C26" i="5"/>
  <c r="A26" i="5"/>
  <c r="L25" i="5"/>
  <c r="I25" i="5"/>
  <c r="M25" i="5" s="1"/>
  <c r="F25" i="5"/>
  <c r="D25" i="5"/>
  <c r="C25" i="5"/>
  <c r="A25" i="5"/>
  <c r="L24" i="5"/>
  <c r="I24" i="5"/>
  <c r="M24" i="5" s="1"/>
  <c r="F24" i="5"/>
  <c r="D24" i="5"/>
  <c r="C24" i="5"/>
  <c r="A24" i="5"/>
  <c r="L23" i="5"/>
  <c r="I23" i="5"/>
  <c r="M23" i="5" s="1"/>
  <c r="F23" i="5"/>
  <c r="D23" i="5"/>
  <c r="C23" i="5"/>
  <c r="A23" i="5"/>
  <c r="L22" i="5"/>
  <c r="I22" i="5"/>
  <c r="M22" i="5" s="1"/>
  <c r="F22" i="5"/>
  <c r="D22" i="5"/>
  <c r="C22" i="5"/>
  <c r="A22" i="5"/>
  <c r="L21" i="5"/>
  <c r="I21" i="5"/>
  <c r="M21" i="5" s="1"/>
  <c r="F21" i="5"/>
  <c r="D21" i="5"/>
  <c r="C21" i="5"/>
  <c r="A21" i="5"/>
  <c r="L20" i="5"/>
  <c r="I20" i="5"/>
  <c r="M20" i="5" s="1"/>
  <c r="F20" i="5"/>
  <c r="D20" i="5"/>
  <c r="C20" i="5"/>
  <c r="A20" i="5"/>
  <c r="L19" i="5"/>
  <c r="I19" i="5"/>
  <c r="M19" i="5" s="1"/>
  <c r="F19" i="5"/>
  <c r="D19" i="5"/>
  <c r="C19" i="5"/>
  <c r="A19" i="5"/>
  <c r="L18" i="5"/>
  <c r="I18" i="5"/>
  <c r="M18" i="5" s="1"/>
  <c r="F18" i="5"/>
  <c r="D18" i="5"/>
  <c r="C18" i="5"/>
  <c r="A18" i="5"/>
  <c r="L17" i="5"/>
  <c r="I17" i="5"/>
  <c r="M17" i="5" s="1"/>
  <c r="F17" i="5"/>
  <c r="D17" i="5"/>
  <c r="C17" i="5"/>
  <c r="A17" i="5"/>
  <c r="L16" i="5"/>
  <c r="I16" i="5"/>
  <c r="M16" i="5" s="1"/>
  <c r="F16" i="5"/>
  <c r="D16" i="5"/>
  <c r="C16" i="5"/>
  <c r="A16" i="5"/>
  <c r="L15" i="5"/>
  <c r="I15" i="5"/>
  <c r="M15" i="5" s="1"/>
  <c r="F15" i="5"/>
  <c r="D15" i="5"/>
  <c r="C15" i="5"/>
  <c r="A15" i="5"/>
  <c r="L14" i="5"/>
  <c r="I14" i="5"/>
  <c r="M14" i="5" s="1"/>
  <c r="F14" i="5"/>
  <c r="D14" i="5"/>
  <c r="C14" i="5"/>
  <c r="A14" i="5"/>
  <c r="L13" i="5"/>
  <c r="I13" i="5"/>
  <c r="M13" i="5" s="1"/>
  <c r="F13" i="5"/>
  <c r="D13" i="5"/>
  <c r="C13" i="5"/>
  <c r="A13" i="5"/>
  <c r="L12" i="5"/>
  <c r="I12" i="5"/>
  <c r="M12" i="5" s="1"/>
  <c r="F12" i="5"/>
  <c r="D12" i="5"/>
  <c r="C12" i="5"/>
  <c r="A12" i="5"/>
  <c r="L11" i="5"/>
  <c r="I11" i="5"/>
  <c r="M11" i="5" s="1"/>
  <c r="F11" i="5"/>
  <c r="D11" i="5"/>
  <c r="C11" i="5"/>
  <c r="A11" i="5"/>
  <c r="L10" i="5"/>
  <c r="I10" i="5"/>
  <c r="M10" i="5" s="1"/>
  <c r="F10" i="5"/>
  <c r="D10" i="5"/>
  <c r="C10" i="5"/>
  <c r="A10" i="5"/>
  <c r="L9" i="5"/>
  <c r="I9" i="5"/>
  <c r="M9" i="5" s="1"/>
  <c r="F9" i="5"/>
  <c r="D9" i="5"/>
  <c r="C9" i="5"/>
  <c r="A9" i="5"/>
  <c r="L8" i="5"/>
  <c r="I8" i="5"/>
  <c r="M8" i="5" s="1"/>
  <c r="F8" i="5"/>
  <c r="D8" i="5"/>
  <c r="C8" i="5"/>
  <c r="A8" i="5"/>
  <c r="L7" i="5"/>
  <c r="I7" i="5"/>
  <c r="M7" i="5" s="1"/>
  <c r="F7" i="5"/>
  <c r="D7" i="5"/>
  <c r="C7" i="5"/>
  <c r="A7" i="5"/>
  <c r="L6" i="5"/>
  <c r="I6" i="5"/>
  <c r="M6" i="5" s="1"/>
  <c r="F6" i="5"/>
  <c r="D6" i="5"/>
  <c r="C6" i="5"/>
  <c r="A6" i="5"/>
  <c r="L5" i="5"/>
  <c r="I5" i="5"/>
  <c r="M5" i="5" s="1"/>
  <c r="F5" i="5"/>
  <c r="D5" i="5"/>
  <c r="C5" i="5"/>
  <c r="A5" i="5"/>
  <c r="K186" i="4"/>
  <c r="J186" i="4"/>
  <c r="G186" i="4"/>
  <c r="F186" i="4"/>
  <c r="E186" i="4"/>
  <c r="C186" i="4"/>
  <c r="A186" i="4"/>
  <c r="K185" i="4"/>
  <c r="J185" i="4"/>
  <c r="G185" i="4"/>
  <c r="F185" i="4"/>
  <c r="E185" i="4"/>
  <c r="C185" i="4"/>
  <c r="A185" i="4"/>
  <c r="K184" i="4"/>
  <c r="J184" i="4"/>
  <c r="G184" i="4"/>
  <c r="F184" i="4"/>
  <c r="E184" i="4"/>
  <c r="C184" i="4"/>
  <c r="A184" i="4"/>
  <c r="K183" i="4"/>
  <c r="J183" i="4"/>
  <c r="G183" i="4"/>
  <c r="F183" i="4"/>
  <c r="E183" i="4"/>
  <c r="C183" i="4"/>
  <c r="A183" i="4"/>
  <c r="K182" i="4"/>
  <c r="J182" i="4"/>
  <c r="G182" i="4"/>
  <c r="F182" i="4"/>
  <c r="E182" i="4"/>
  <c r="C182" i="4"/>
  <c r="A182" i="4"/>
  <c r="K181" i="4"/>
  <c r="J181" i="4"/>
  <c r="G181" i="4"/>
  <c r="F181" i="4"/>
  <c r="E181" i="4"/>
  <c r="C181" i="4"/>
  <c r="A181" i="4"/>
  <c r="K180" i="4"/>
  <c r="J180" i="4"/>
  <c r="G180" i="4"/>
  <c r="F180" i="4"/>
  <c r="E180" i="4"/>
  <c r="C180" i="4"/>
  <c r="A180" i="4"/>
  <c r="K179" i="4"/>
  <c r="J179" i="4"/>
  <c r="G179" i="4"/>
  <c r="F179" i="4"/>
  <c r="E179" i="4"/>
  <c r="C179" i="4"/>
  <c r="A179" i="4"/>
  <c r="K178" i="4"/>
  <c r="J178" i="4"/>
  <c r="G178" i="4"/>
  <c r="F178" i="4"/>
  <c r="E178" i="4"/>
  <c r="C178" i="4"/>
  <c r="A178" i="4"/>
  <c r="K177" i="4"/>
  <c r="J177" i="4"/>
  <c r="G177" i="4"/>
  <c r="F177" i="4"/>
  <c r="E177" i="4"/>
  <c r="C177" i="4"/>
  <c r="A177" i="4"/>
  <c r="K176" i="4"/>
  <c r="J176" i="4"/>
  <c r="G176" i="4"/>
  <c r="F176" i="4"/>
  <c r="E176" i="4"/>
  <c r="C176" i="4"/>
  <c r="A176" i="4"/>
  <c r="K175" i="4"/>
  <c r="J175" i="4"/>
  <c r="G175" i="4"/>
  <c r="F175" i="4"/>
  <c r="E175" i="4"/>
  <c r="C175" i="4"/>
  <c r="A175" i="4"/>
  <c r="K174" i="4"/>
  <c r="J174" i="4"/>
  <c r="G174" i="4"/>
  <c r="F174" i="4"/>
  <c r="E174" i="4"/>
  <c r="C174" i="4"/>
  <c r="A174" i="4"/>
  <c r="K173" i="4"/>
  <c r="J173" i="4"/>
  <c r="G173" i="4"/>
  <c r="F173" i="4"/>
  <c r="E173" i="4"/>
  <c r="C173" i="4"/>
  <c r="A173" i="4"/>
  <c r="K172" i="4"/>
  <c r="J172" i="4"/>
  <c r="G172" i="4"/>
  <c r="F172" i="4"/>
  <c r="E172" i="4"/>
  <c r="C172" i="4"/>
  <c r="A172" i="4"/>
  <c r="K171" i="4"/>
  <c r="J171" i="4"/>
  <c r="G171" i="4"/>
  <c r="F171" i="4"/>
  <c r="E171" i="4"/>
  <c r="C171" i="4"/>
  <c r="A171" i="4"/>
  <c r="K170" i="4"/>
  <c r="J170" i="4"/>
  <c r="G170" i="4"/>
  <c r="F170" i="4"/>
  <c r="E170" i="4"/>
  <c r="C170" i="4"/>
  <c r="A170" i="4"/>
  <c r="K169" i="4"/>
  <c r="J169" i="4"/>
  <c r="G169" i="4"/>
  <c r="F169" i="4"/>
  <c r="E169" i="4"/>
  <c r="C169" i="4"/>
  <c r="A169" i="4"/>
  <c r="K168" i="4"/>
  <c r="J168" i="4"/>
  <c r="G168" i="4"/>
  <c r="F168" i="4"/>
  <c r="E168" i="4"/>
  <c r="C168" i="4"/>
  <c r="A168" i="4"/>
  <c r="K167" i="4"/>
  <c r="J167" i="4"/>
  <c r="G167" i="4"/>
  <c r="F167" i="4"/>
  <c r="E167" i="4"/>
  <c r="C167" i="4"/>
  <c r="A167" i="4"/>
  <c r="K166" i="4"/>
  <c r="J166" i="4"/>
  <c r="G166" i="4"/>
  <c r="F166" i="4"/>
  <c r="E166" i="4"/>
  <c r="C166" i="4"/>
  <c r="A166" i="4"/>
  <c r="K165" i="4"/>
  <c r="J165" i="4"/>
  <c r="G165" i="4"/>
  <c r="F165" i="4"/>
  <c r="E165" i="4"/>
  <c r="C165" i="4"/>
  <c r="A165" i="4"/>
  <c r="K164" i="4"/>
  <c r="J164" i="4"/>
  <c r="G164" i="4"/>
  <c r="F164" i="4"/>
  <c r="E164" i="4"/>
  <c r="C164" i="4"/>
  <c r="A164" i="4"/>
  <c r="K163" i="4"/>
  <c r="J163" i="4"/>
  <c r="G163" i="4"/>
  <c r="F163" i="4"/>
  <c r="E163" i="4"/>
  <c r="C163" i="4"/>
  <c r="A163" i="4"/>
  <c r="K162" i="4"/>
  <c r="J162" i="4"/>
  <c r="G162" i="4"/>
  <c r="F162" i="4"/>
  <c r="E162" i="4"/>
  <c r="C162" i="4"/>
  <c r="A162" i="4"/>
  <c r="K161" i="4"/>
  <c r="J161" i="4"/>
  <c r="G161" i="4"/>
  <c r="F161" i="4"/>
  <c r="E161" i="4"/>
  <c r="C161" i="4"/>
  <c r="A161" i="4"/>
  <c r="K160" i="4"/>
  <c r="J160" i="4"/>
  <c r="G160" i="4"/>
  <c r="F160" i="4"/>
  <c r="E160" i="4"/>
  <c r="C160" i="4"/>
  <c r="A160" i="4"/>
  <c r="K159" i="4"/>
  <c r="J159" i="4"/>
  <c r="G159" i="4"/>
  <c r="F159" i="4"/>
  <c r="E159" i="4"/>
  <c r="C159" i="4"/>
  <c r="A159" i="4"/>
  <c r="K158" i="4"/>
  <c r="J158" i="4"/>
  <c r="G158" i="4"/>
  <c r="F158" i="4"/>
  <c r="E158" i="4"/>
  <c r="C158" i="4"/>
  <c r="A158" i="4"/>
  <c r="K157" i="4"/>
  <c r="J157" i="4"/>
  <c r="G157" i="4"/>
  <c r="F157" i="4"/>
  <c r="E157" i="4"/>
  <c r="C157" i="4"/>
  <c r="A157" i="4"/>
  <c r="K156" i="4"/>
  <c r="J156" i="4"/>
  <c r="G156" i="4"/>
  <c r="F156" i="4"/>
  <c r="E156" i="4"/>
  <c r="C156" i="4"/>
  <c r="A156" i="4"/>
  <c r="K155" i="4"/>
  <c r="J155" i="4"/>
  <c r="G155" i="4"/>
  <c r="F155" i="4"/>
  <c r="E155" i="4"/>
  <c r="C155" i="4"/>
  <c r="A155" i="4"/>
  <c r="K154" i="4"/>
  <c r="J154" i="4"/>
  <c r="G154" i="4"/>
  <c r="F154" i="4"/>
  <c r="E154" i="4"/>
  <c r="C154" i="4"/>
  <c r="A154" i="4"/>
  <c r="K153" i="4"/>
  <c r="J153" i="4"/>
  <c r="G153" i="4"/>
  <c r="F153" i="4"/>
  <c r="E153" i="4"/>
  <c r="C153" i="4"/>
  <c r="A153" i="4"/>
  <c r="K152" i="4"/>
  <c r="J152" i="4"/>
  <c r="G152" i="4"/>
  <c r="F152" i="4"/>
  <c r="E152" i="4"/>
  <c r="C152" i="4"/>
  <c r="A152" i="4"/>
  <c r="K151" i="4"/>
  <c r="J151" i="4"/>
  <c r="G151" i="4"/>
  <c r="F151" i="4"/>
  <c r="E151" i="4"/>
  <c r="C151" i="4"/>
  <c r="A151" i="4"/>
  <c r="K150" i="4"/>
  <c r="J150" i="4"/>
  <c r="G150" i="4"/>
  <c r="F150" i="4"/>
  <c r="E150" i="4"/>
  <c r="C150" i="4"/>
  <c r="A150" i="4"/>
  <c r="K149" i="4"/>
  <c r="J149" i="4"/>
  <c r="G149" i="4"/>
  <c r="F149" i="4"/>
  <c r="E149" i="4"/>
  <c r="C149" i="4"/>
  <c r="A149" i="4"/>
  <c r="K148" i="4"/>
  <c r="J148" i="4"/>
  <c r="G148" i="4"/>
  <c r="F148" i="4"/>
  <c r="E148" i="4"/>
  <c r="C148" i="4"/>
  <c r="A148" i="4"/>
  <c r="K147" i="4"/>
  <c r="J147" i="4"/>
  <c r="G147" i="4"/>
  <c r="F147" i="4"/>
  <c r="E147" i="4"/>
  <c r="C147" i="4"/>
  <c r="A147" i="4"/>
  <c r="K146" i="4"/>
  <c r="J146" i="4"/>
  <c r="G146" i="4"/>
  <c r="F146" i="4"/>
  <c r="E146" i="4"/>
  <c r="C146" i="4"/>
  <c r="A146" i="4"/>
  <c r="K145" i="4"/>
  <c r="J145" i="4"/>
  <c r="G145" i="4"/>
  <c r="F145" i="4"/>
  <c r="E145" i="4"/>
  <c r="C145" i="4"/>
  <c r="A145" i="4"/>
  <c r="K144" i="4"/>
  <c r="J144" i="4"/>
  <c r="G144" i="4"/>
  <c r="F144" i="4"/>
  <c r="E144" i="4"/>
  <c r="C144" i="4"/>
  <c r="A144" i="4"/>
  <c r="K143" i="4"/>
  <c r="J143" i="4"/>
  <c r="G143" i="4"/>
  <c r="F143" i="4"/>
  <c r="E143" i="4"/>
  <c r="C143" i="4"/>
  <c r="A143" i="4"/>
  <c r="K142" i="4"/>
  <c r="J142" i="4"/>
  <c r="G142" i="4"/>
  <c r="F142" i="4"/>
  <c r="E142" i="4"/>
  <c r="C142" i="4"/>
  <c r="A142" i="4"/>
  <c r="K141" i="4"/>
  <c r="J141" i="4"/>
  <c r="G141" i="4"/>
  <c r="F141" i="4"/>
  <c r="E141" i="4"/>
  <c r="C141" i="4"/>
  <c r="A141" i="4"/>
  <c r="K140" i="4"/>
  <c r="J140" i="4"/>
  <c r="G140" i="4"/>
  <c r="F140" i="4"/>
  <c r="E140" i="4"/>
  <c r="C140" i="4"/>
  <c r="A140" i="4"/>
  <c r="K139" i="4"/>
  <c r="J139" i="4"/>
  <c r="G139" i="4"/>
  <c r="F139" i="4"/>
  <c r="E139" i="4"/>
  <c r="C139" i="4"/>
  <c r="A139" i="4"/>
  <c r="K138" i="4"/>
  <c r="J138" i="4"/>
  <c r="G138" i="4"/>
  <c r="F138" i="4"/>
  <c r="E138" i="4"/>
  <c r="C138" i="4"/>
  <c r="A138" i="4"/>
  <c r="K137" i="4"/>
  <c r="J137" i="4"/>
  <c r="G137" i="4"/>
  <c r="F137" i="4"/>
  <c r="E137" i="4"/>
  <c r="C137" i="4"/>
  <c r="A137" i="4"/>
  <c r="K136" i="4"/>
  <c r="J136" i="4"/>
  <c r="G136" i="4"/>
  <c r="F136" i="4"/>
  <c r="E136" i="4"/>
  <c r="C136" i="4"/>
  <c r="A136" i="4"/>
  <c r="K135" i="4"/>
  <c r="J135" i="4"/>
  <c r="G135" i="4"/>
  <c r="F135" i="4"/>
  <c r="E135" i="4"/>
  <c r="C135" i="4"/>
  <c r="A135" i="4"/>
  <c r="K134" i="4"/>
  <c r="J134" i="4"/>
  <c r="G134" i="4"/>
  <c r="F134" i="4"/>
  <c r="E134" i="4"/>
  <c r="C134" i="4"/>
  <c r="A134" i="4"/>
  <c r="K133" i="4"/>
  <c r="J133" i="4"/>
  <c r="G133" i="4"/>
  <c r="F133" i="4"/>
  <c r="E133" i="4"/>
  <c r="C133" i="4"/>
  <c r="A133" i="4"/>
  <c r="K132" i="4"/>
  <c r="J132" i="4"/>
  <c r="G132" i="4"/>
  <c r="F132" i="4"/>
  <c r="E132" i="4"/>
  <c r="C132" i="4"/>
  <c r="A132" i="4"/>
  <c r="K131" i="4"/>
  <c r="J131" i="4"/>
  <c r="G131" i="4"/>
  <c r="F131" i="4"/>
  <c r="E131" i="4"/>
  <c r="C131" i="4"/>
  <c r="A131" i="4"/>
  <c r="K130" i="4"/>
  <c r="J130" i="4"/>
  <c r="G130" i="4"/>
  <c r="F130" i="4"/>
  <c r="E130" i="4"/>
  <c r="C130" i="4"/>
  <c r="A130" i="4"/>
  <c r="K129" i="4"/>
  <c r="J129" i="4"/>
  <c r="G129" i="4"/>
  <c r="F129" i="4"/>
  <c r="E129" i="4"/>
  <c r="C129" i="4"/>
  <c r="A129" i="4"/>
  <c r="K128" i="4"/>
  <c r="J128" i="4"/>
  <c r="G128" i="4"/>
  <c r="F128" i="4"/>
  <c r="E128" i="4"/>
  <c r="C128" i="4"/>
  <c r="A128" i="4"/>
  <c r="K127" i="4"/>
  <c r="J127" i="4"/>
  <c r="G127" i="4"/>
  <c r="F127" i="4"/>
  <c r="E127" i="4"/>
  <c r="C127" i="4"/>
  <c r="A127" i="4"/>
  <c r="K126" i="4"/>
  <c r="J126" i="4"/>
  <c r="G126" i="4"/>
  <c r="F126" i="4"/>
  <c r="E126" i="4"/>
  <c r="C126" i="4"/>
  <c r="A126" i="4"/>
  <c r="K125" i="4"/>
  <c r="J125" i="4"/>
  <c r="G125" i="4"/>
  <c r="F125" i="4"/>
  <c r="E125" i="4"/>
  <c r="C125" i="4"/>
  <c r="A125" i="4"/>
  <c r="K124" i="4"/>
  <c r="J124" i="4"/>
  <c r="G124" i="4"/>
  <c r="F124" i="4"/>
  <c r="E124" i="4"/>
  <c r="C124" i="4"/>
  <c r="A124" i="4"/>
  <c r="K123" i="4"/>
  <c r="J123" i="4"/>
  <c r="G123" i="4"/>
  <c r="F123" i="4"/>
  <c r="E123" i="4"/>
  <c r="C123" i="4"/>
  <c r="A123" i="4"/>
  <c r="K122" i="4"/>
  <c r="J122" i="4"/>
  <c r="G122" i="4"/>
  <c r="F122" i="4"/>
  <c r="E122" i="4"/>
  <c r="C122" i="4"/>
  <c r="A122" i="4"/>
  <c r="K121" i="4"/>
  <c r="J121" i="4"/>
  <c r="G121" i="4"/>
  <c r="F121" i="4"/>
  <c r="E121" i="4"/>
  <c r="C121" i="4"/>
  <c r="A121" i="4"/>
  <c r="K120" i="4"/>
  <c r="J120" i="4"/>
  <c r="G120" i="4"/>
  <c r="F120" i="4"/>
  <c r="E120" i="4"/>
  <c r="C120" i="4"/>
  <c r="A120" i="4"/>
  <c r="K119" i="4"/>
  <c r="J119" i="4"/>
  <c r="G119" i="4"/>
  <c r="F119" i="4"/>
  <c r="E119" i="4"/>
  <c r="C119" i="4"/>
  <c r="A119" i="4"/>
  <c r="K118" i="4"/>
  <c r="J118" i="4"/>
  <c r="G118" i="4"/>
  <c r="F118" i="4"/>
  <c r="E118" i="4"/>
  <c r="C118" i="4"/>
  <c r="A118" i="4"/>
  <c r="K117" i="4"/>
  <c r="J117" i="4"/>
  <c r="G117" i="4"/>
  <c r="F117" i="4"/>
  <c r="E117" i="4"/>
  <c r="C117" i="4"/>
  <c r="A117" i="4"/>
  <c r="K116" i="4"/>
  <c r="J116" i="4"/>
  <c r="G116" i="4"/>
  <c r="F116" i="4"/>
  <c r="E116" i="4"/>
  <c r="C116" i="4"/>
  <c r="A116" i="4"/>
  <c r="K115" i="4"/>
  <c r="J115" i="4"/>
  <c r="G115" i="4"/>
  <c r="F115" i="4"/>
  <c r="E115" i="4"/>
  <c r="C115" i="4"/>
  <c r="A115" i="4"/>
  <c r="K114" i="4"/>
  <c r="J114" i="4"/>
  <c r="G114" i="4"/>
  <c r="F114" i="4"/>
  <c r="E114" i="4"/>
  <c r="C114" i="4"/>
  <c r="A114" i="4"/>
  <c r="K113" i="4"/>
  <c r="J113" i="4"/>
  <c r="G113" i="4"/>
  <c r="F113" i="4"/>
  <c r="E113" i="4"/>
  <c r="C113" i="4"/>
  <c r="A113" i="4"/>
  <c r="K112" i="4"/>
  <c r="J112" i="4"/>
  <c r="G112" i="4"/>
  <c r="F112" i="4"/>
  <c r="E112" i="4"/>
  <c r="C112" i="4"/>
  <c r="A112" i="4"/>
  <c r="K111" i="4"/>
  <c r="J111" i="4"/>
  <c r="G111" i="4"/>
  <c r="F111" i="4"/>
  <c r="E111" i="4"/>
  <c r="C111" i="4"/>
  <c r="A111" i="4"/>
  <c r="K110" i="4"/>
  <c r="J110" i="4"/>
  <c r="G110" i="4"/>
  <c r="F110" i="4"/>
  <c r="E110" i="4"/>
  <c r="C110" i="4"/>
  <c r="A110" i="4"/>
  <c r="K109" i="4"/>
  <c r="J109" i="4"/>
  <c r="G109" i="4"/>
  <c r="F109" i="4"/>
  <c r="E109" i="4"/>
  <c r="C109" i="4"/>
  <c r="A109" i="4"/>
  <c r="K108" i="4"/>
  <c r="J108" i="4"/>
  <c r="G108" i="4"/>
  <c r="F108" i="4"/>
  <c r="E108" i="4"/>
  <c r="C108" i="4"/>
  <c r="A108" i="4"/>
  <c r="K107" i="4"/>
  <c r="J107" i="4"/>
  <c r="G107" i="4"/>
  <c r="F107" i="4"/>
  <c r="E107" i="4"/>
  <c r="C107" i="4"/>
  <c r="A107" i="4"/>
  <c r="K106" i="4"/>
  <c r="J106" i="4"/>
  <c r="G106" i="4"/>
  <c r="F106" i="4"/>
  <c r="E106" i="4"/>
  <c r="C106" i="4"/>
  <c r="A106" i="4"/>
  <c r="K105" i="4"/>
  <c r="J105" i="4"/>
  <c r="G105" i="4"/>
  <c r="F105" i="4"/>
  <c r="E105" i="4"/>
  <c r="C105" i="4"/>
  <c r="A105" i="4"/>
  <c r="K104" i="4"/>
  <c r="J104" i="4"/>
  <c r="G104" i="4"/>
  <c r="F104" i="4"/>
  <c r="E104" i="4"/>
  <c r="C104" i="4"/>
  <c r="A104" i="4"/>
  <c r="K103" i="4"/>
  <c r="J103" i="4"/>
  <c r="G103" i="4"/>
  <c r="F103" i="4"/>
  <c r="E103" i="4"/>
  <c r="C103" i="4"/>
  <c r="A103" i="4"/>
  <c r="K102" i="4"/>
  <c r="J102" i="4"/>
  <c r="G102" i="4"/>
  <c r="F102" i="4"/>
  <c r="E102" i="4"/>
  <c r="C102" i="4"/>
  <c r="A102" i="4"/>
  <c r="K101" i="4"/>
  <c r="J101" i="4"/>
  <c r="G101" i="4"/>
  <c r="F101" i="4"/>
  <c r="E101" i="4"/>
  <c r="C101" i="4"/>
  <c r="A101" i="4"/>
  <c r="K100" i="4"/>
  <c r="J100" i="4"/>
  <c r="G100" i="4"/>
  <c r="F100" i="4"/>
  <c r="E100" i="4"/>
  <c r="C100" i="4"/>
  <c r="A100" i="4"/>
  <c r="K99" i="4"/>
  <c r="J99" i="4"/>
  <c r="G99" i="4"/>
  <c r="F99" i="4"/>
  <c r="E99" i="4"/>
  <c r="C99" i="4"/>
  <c r="A99" i="4"/>
  <c r="K98" i="4"/>
  <c r="J98" i="4"/>
  <c r="G98" i="4"/>
  <c r="F98" i="4"/>
  <c r="E98" i="4"/>
  <c r="C98" i="4"/>
  <c r="A98" i="4"/>
  <c r="K97" i="4"/>
  <c r="J97" i="4"/>
  <c r="G97" i="4"/>
  <c r="F97" i="4"/>
  <c r="E97" i="4"/>
  <c r="C97" i="4"/>
  <c r="A97" i="4"/>
  <c r="K96" i="4"/>
  <c r="J96" i="4"/>
  <c r="G96" i="4"/>
  <c r="F96" i="4"/>
  <c r="E96" i="4"/>
  <c r="C96" i="4"/>
  <c r="A96" i="4"/>
  <c r="K95" i="4"/>
  <c r="J95" i="4"/>
  <c r="G95" i="4"/>
  <c r="F95" i="4"/>
  <c r="E95" i="4"/>
  <c r="C95" i="4"/>
  <c r="A95" i="4"/>
  <c r="K94" i="4"/>
  <c r="J94" i="4"/>
  <c r="G94" i="4"/>
  <c r="F94" i="4"/>
  <c r="E94" i="4"/>
  <c r="C94" i="4"/>
  <c r="A94" i="4"/>
  <c r="K93" i="4"/>
  <c r="J93" i="4"/>
  <c r="G93" i="4"/>
  <c r="F93" i="4"/>
  <c r="E93" i="4"/>
  <c r="C93" i="4"/>
  <c r="A93" i="4"/>
  <c r="K92" i="4"/>
  <c r="J92" i="4"/>
  <c r="G92" i="4"/>
  <c r="F92" i="4"/>
  <c r="E92" i="4"/>
  <c r="C92" i="4"/>
  <c r="A92" i="4"/>
  <c r="K91" i="4"/>
  <c r="J91" i="4"/>
  <c r="G91" i="4"/>
  <c r="F91" i="4"/>
  <c r="E91" i="4"/>
  <c r="C91" i="4"/>
  <c r="A91" i="4"/>
  <c r="K90" i="4"/>
  <c r="J90" i="4"/>
  <c r="G90" i="4"/>
  <c r="F90" i="4"/>
  <c r="E90" i="4"/>
  <c r="C90" i="4"/>
  <c r="A90" i="4"/>
  <c r="K89" i="4"/>
  <c r="J89" i="4"/>
  <c r="G89" i="4"/>
  <c r="F89" i="4"/>
  <c r="E89" i="4"/>
  <c r="C89" i="4"/>
  <c r="A89" i="4"/>
  <c r="K88" i="4"/>
  <c r="J88" i="4"/>
  <c r="G88" i="4"/>
  <c r="F88" i="4"/>
  <c r="E88" i="4"/>
  <c r="C88" i="4"/>
  <c r="A88" i="4"/>
  <c r="K87" i="4"/>
  <c r="J87" i="4"/>
  <c r="G87" i="4"/>
  <c r="F87" i="4"/>
  <c r="E87" i="4"/>
  <c r="C87" i="4"/>
  <c r="A87" i="4"/>
  <c r="K86" i="4"/>
  <c r="J86" i="4"/>
  <c r="G86" i="4"/>
  <c r="F86" i="4"/>
  <c r="E86" i="4"/>
  <c r="C86" i="4"/>
  <c r="A86" i="4"/>
  <c r="K85" i="4"/>
  <c r="J85" i="4"/>
  <c r="G85" i="4"/>
  <c r="F85" i="4"/>
  <c r="E85" i="4"/>
  <c r="C85" i="4"/>
  <c r="A85" i="4"/>
  <c r="K84" i="4"/>
  <c r="J84" i="4"/>
  <c r="G84" i="4"/>
  <c r="F84" i="4"/>
  <c r="E84" i="4"/>
  <c r="C84" i="4"/>
  <c r="A84" i="4"/>
  <c r="K83" i="4"/>
  <c r="J83" i="4"/>
  <c r="G83" i="4"/>
  <c r="F83" i="4"/>
  <c r="E83" i="4"/>
  <c r="C83" i="4"/>
  <c r="A83" i="4"/>
  <c r="K82" i="4"/>
  <c r="J82" i="4"/>
  <c r="G82" i="4"/>
  <c r="F82" i="4"/>
  <c r="E82" i="4"/>
  <c r="C82" i="4"/>
  <c r="A82" i="4"/>
  <c r="K81" i="4"/>
  <c r="J81" i="4"/>
  <c r="G81" i="4"/>
  <c r="F81" i="4"/>
  <c r="E81" i="4"/>
  <c r="C81" i="4"/>
  <c r="A81" i="4"/>
  <c r="K80" i="4"/>
  <c r="J80" i="4"/>
  <c r="G80" i="4"/>
  <c r="F80" i="4"/>
  <c r="E80" i="4"/>
  <c r="C80" i="4"/>
  <c r="A80" i="4"/>
  <c r="K79" i="4"/>
  <c r="J79" i="4"/>
  <c r="G79" i="4"/>
  <c r="F79" i="4"/>
  <c r="E79" i="4"/>
  <c r="C79" i="4"/>
  <c r="A79" i="4"/>
  <c r="K78" i="4"/>
  <c r="J78" i="4"/>
  <c r="G78" i="4"/>
  <c r="F78" i="4"/>
  <c r="E78" i="4"/>
  <c r="C78" i="4"/>
  <c r="A78" i="4"/>
  <c r="K77" i="4"/>
  <c r="J77" i="4"/>
  <c r="G77" i="4"/>
  <c r="F77" i="4"/>
  <c r="E77" i="4"/>
  <c r="C77" i="4"/>
  <c r="A77" i="4"/>
  <c r="K76" i="4"/>
  <c r="J76" i="4"/>
  <c r="G76" i="4"/>
  <c r="F76" i="4"/>
  <c r="E76" i="4"/>
  <c r="C76" i="4"/>
  <c r="A76" i="4"/>
  <c r="K75" i="4"/>
  <c r="J75" i="4"/>
  <c r="G75" i="4"/>
  <c r="F75" i="4"/>
  <c r="E75" i="4"/>
  <c r="C75" i="4"/>
  <c r="A75" i="4"/>
  <c r="K74" i="4"/>
  <c r="J74" i="4"/>
  <c r="G74" i="4"/>
  <c r="F74" i="4"/>
  <c r="E74" i="4"/>
  <c r="C74" i="4"/>
  <c r="A74" i="4"/>
  <c r="K73" i="4"/>
  <c r="J73" i="4"/>
  <c r="G73" i="4"/>
  <c r="F73" i="4"/>
  <c r="E73" i="4"/>
  <c r="C73" i="4"/>
  <c r="A73" i="4"/>
  <c r="K72" i="4"/>
  <c r="J72" i="4"/>
  <c r="G72" i="4"/>
  <c r="F72" i="4"/>
  <c r="E72" i="4"/>
  <c r="C72" i="4"/>
  <c r="A72" i="4"/>
  <c r="K71" i="4"/>
  <c r="J71" i="4"/>
  <c r="G71" i="4"/>
  <c r="F71" i="4"/>
  <c r="E71" i="4"/>
  <c r="C71" i="4"/>
  <c r="A71" i="4"/>
  <c r="K70" i="4"/>
  <c r="J70" i="4"/>
  <c r="G70" i="4"/>
  <c r="F70" i="4"/>
  <c r="E70" i="4"/>
  <c r="C70" i="4"/>
  <c r="A70" i="4"/>
  <c r="K69" i="4"/>
  <c r="J69" i="4"/>
  <c r="G69" i="4"/>
  <c r="F69" i="4"/>
  <c r="E69" i="4"/>
  <c r="C69" i="4"/>
  <c r="A69" i="4"/>
  <c r="K68" i="4"/>
  <c r="J68" i="4"/>
  <c r="G68" i="4"/>
  <c r="F68" i="4"/>
  <c r="E68" i="4"/>
  <c r="C68" i="4"/>
  <c r="A68" i="4"/>
  <c r="K67" i="4"/>
  <c r="J67" i="4"/>
  <c r="G67" i="4"/>
  <c r="F67" i="4"/>
  <c r="E67" i="4"/>
  <c r="C67" i="4"/>
  <c r="A67" i="4"/>
  <c r="K66" i="4"/>
  <c r="J66" i="4"/>
  <c r="G66" i="4"/>
  <c r="F66" i="4"/>
  <c r="E66" i="4"/>
  <c r="C66" i="4"/>
  <c r="A66" i="4"/>
  <c r="K65" i="4"/>
  <c r="J65" i="4"/>
  <c r="G65" i="4"/>
  <c r="F65" i="4"/>
  <c r="E65" i="4"/>
  <c r="C65" i="4"/>
  <c r="A65" i="4"/>
  <c r="K64" i="4"/>
  <c r="J64" i="4"/>
  <c r="G64" i="4"/>
  <c r="F64" i="4"/>
  <c r="E64" i="4"/>
  <c r="C64" i="4"/>
  <c r="A64" i="4"/>
  <c r="K63" i="4"/>
  <c r="J63" i="4"/>
  <c r="G63" i="4"/>
  <c r="F63" i="4"/>
  <c r="E63" i="4"/>
  <c r="C63" i="4"/>
  <c r="A63" i="4"/>
  <c r="K62" i="4"/>
  <c r="J62" i="4"/>
  <c r="G62" i="4"/>
  <c r="F62" i="4"/>
  <c r="E62" i="4"/>
  <c r="C62" i="4"/>
  <c r="A62" i="4"/>
  <c r="K61" i="4"/>
  <c r="J61" i="4"/>
  <c r="G61" i="4"/>
  <c r="F61" i="4"/>
  <c r="E61" i="4"/>
  <c r="C61" i="4"/>
  <c r="A61" i="4"/>
  <c r="K60" i="4"/>
  <c r="J60" i="4"/>
  <c r="G60" i="4"/>
  <c r="F60" i="4"/>
  <c r="E60" i="4"/>
  <c r="C60" i="4"/>
  <c r="A60" i="4"/>
  <c r="K59" i="4"/>
  <c r="J59" i="4"/>
  <c r="G59" i="4"/>
  <c r="F59" i="4"/>
  <c r="E59" i="4"/>
  <c r="C59" i="4"/>
  <c r="A59" i="4"/>
  <c r="K58" i="4"/>
  <c r="J58" i="4"/>
  <c r="G58" i="4"/>
  <c r="F58" i="4"/>
  <c r="E58" i="4"/>
  <c r="C58" i="4"/>
  <c r="A58" i="4"/>
  <c r="K57" i="4"/>
  <c r="J57" i="4"/>
  <c r="G57" i="4"/>
  <c r="F57" i="4"/>
  <c r="E57" i="4"/>
  <c r="C57" i="4"/>
  <c r="A57" i="4"/>
  <c r="K56" i="4"/>
  <c r="J56" i="4"/>
  <c r="G56" i="4"/>
  <c r="F56" i="4"/>
  <c r="E56" i="4"/>
  <c r="C56" i="4"/>
  <c r="A56" i="4"/>
  <c r="K55" i="4"/>
  <c r="J55" i="4"/>
  <c r="G55" i="4"/>
  <c r="F55" i="4"/>
  <c r="E55" i="4"/>
  <c r="C55" i="4"/>
  <c r="A55" i="4"/>
  <c r="K54" i="4"/>
  <c r="J54" i="4"/>
  <c r="G54" i="4"/>
  <c r="F54" i="4"/>
  <c r="E54" i="4"/>
  <c r="C54" i="4"/>
  <c r="A54" i="4"/>
  <c r="K53" i="4"/>
  <c r="J53" i="4"/>
  <c r="G53" i="4"/>
  <c r="F53" i="4"/>
  <c r="E53" i="4"/>
  <c r="C53" i="4"/>
  <c r="A53" i="4"/>
  <c r="K52" i="4"/>
  <c r="J52" i="4"/>
  <c r="G52" i="4"/>
  <c r="F52" i="4"/>
  <c r="E52" i="4"/>
  <c r="C52" i="4"/>
  <c r="A52" i="4"/>
  <c r="K51" i="4"/>
  <c r="J51" i="4"/>
  <c r="G51" i="4"/>
  <c r="F51" i="4"/>
  <c r="E51" i="4"/>
  <c r="C51" i="4"/>
  <c r="A51" i="4"/>
  <c r="K50" i="4"/>
  <c r="J50" i="4"/>
  <c r="G50" i="4"/>
  <c r="F50" i="4"/>
  <c r="E50" i="4"/>
  <c r="C50" i="4"/>
  <c r="A50" i="4"/>
  <c r="K49" i="4"/>
  <c r="J49" i="4"/>
  <c r="G49" i="4"/>
  <c r="F49" i="4"/>
  <c r="E49" i="4"/>
  <c r="C49" i="4"/>
  <c r="A49" i="4"/>
  <c r="K48" i="4"/>
  <c r="J48" i="4"/>
  <c r="G48" i="4"/>
  <c r="F48" i="4"/>
  <c r="E48" i="4"/>
  <c r="C48" i="4"/>
  <c r="A48" i="4"/>
  <c r="K47" i="4"/>
  <c r="J47" i="4"/>
  <c r="G47" i="4"/>
  <c r="F47" i="4"/>
  <c r="E47" i="4"/>
  <c r="C47" i="4"/>
  <c r="A47" i="4"/>
  <c r="K46" i="4"/>
  <c r="J46" i="4"/>
  <c r="G46" i="4"/>
  <c r="F46" i="4"/>
  <c r="E46" i="4"/>
  <c r="C46" i="4"/>
  <c r="A46" i="4"/>
  <c r="K45" i="4"/>
  <c r="J45" i="4"/>
  <c r="G45" i="4"/>
  <c r="F45" i="4"/>
  <c r="E45" i="4"/>
  <c r="C45" i="4"/>
  <c r="A45" i="4"/>
  <c r="K44" i="4"/>
  <c r="J44" i="4"/>
  <c r="G44" i="4"/>
  <c r="F44" i="4"/>
  <c r="E44" i="4"/>
  <c r="C44" i="4"/>
  <c r="A44" i="4"/>
  <c r="K43" i="4"/>
  <c r="J43" i="4"/>
  <c r="G43" i="4"/>
  <c r="F43" i="4"/>
  <c r="E43" i="4"/>
  <c r="C43" i="4"/>
  <c r="A43" i="4"/>
  <c r="K42" i="4"/>
  <c r="J42" i="4"/>
  <c r="G42" i="4"/>
  <c r="F42" i="4"/>
  <c r="E42" i="4"/>
  <c r="C42" i="4"/>
  <c r="A42" i="4"/>
  <c r="K41" i="4"/>
  <c r="J41" i="4"/>
  <c r="G41" i="4"/>
  <c r="F41" i="4"/>
  <c r="E41" i="4"/>
  <c r="C41" i="4"/>
  <c r="A41" i="4"/>
  <c r="K40" i="4"/>
  <c r="J40" i="4"/>
  <c r="G40" i="4"/>
  <c r="F40" i="4"/>
  <c r="E40" i="4"/>
  <c r="C40" i="4"/>
  <c r="A40" i="4"/>
  <c r="K39" i="4"/>
  <c r="J39" i="4"/>
  <c r="G39" i="4"/>
  <c r="F39" i="4"/>
  <c r="E39" i="4"/>
  <c r="C39" i="4"/>
  <c r="A39" i="4"/>
  <c r="K38" i="4"/>
  <c r="J38" i="4"/>
  <c r="G38" i="4"/>
  <c r="F38" i="4"/>
  <c r="E38" i="4"/>
  <c r="C38" i="4"/>
  <c r="A38" i="4"/>
  <c r="K37" i="4"/>
  <c r="J37" i="4"/>
  <c r="G37" i="4"/>
  <c r="F37" i="4"/>
  <c r="E37" i="4"/>
  <c r="C37" i="4"/>
  <c r="A37" i="4"/>
  <c r="K36" i="4"/>
  <c r="J36" i="4"/>
  <c r="G36" i="4"/>
  <c r="F36" i="4"/>
  <c r="E36" i="4"/>
  <c r="C36" i="4"/>
  <c r="A36" i="4"/>
  <c r="K35" i="4"/>
  <c r="J35" i="4"/>
  <c r="G35" i="4"/>
  <c r="F35" i="4"/>
  <c r="E35" i="4"/>
  <c r="C35" i="4"/>
  <c r="A35" i="4"/>
  <c r="K34" i="4"/>
  <c r="J34" i="4"/>
  <c r="G34" i="4"/>
  <c r="F34" i="4"/>
  <c r="E34" i="4"/>
  <c r="C34" i="4"/>
  <c r="A34" i="4"/>
  <c r="K33" i="4"/>
  <c r="J33" i="4"/>
  <c r="G33" i="4"/>
  <c r="F33" i="4"/>
  <c r="E33" i="4"/>
  <c r="C33" i="4"/>
  <c r="A33" i="4"/>
  <c r="K32" i="4"/>
  <c r="J32" i="4"/>
  <c r="G32" i="4"/>
  <c r="F32" i="4"/>
  <c r="E32" i="4"/>
  <c r="C32" i="4"/>
  <c r="A32" i="4"/>
  <c r="K31" i="4"/>
  <c r="J31" i="4"/>
  <c r="G31" i="4"/>
  <c r="F31" i="4"/>
  <c r="E31" i="4"/>
  <c r="C31" i="4"/>
  <c r="A31" i="4"/>
  <c r="K30" i="4"/>
  <c r="J30" i="4"/>
  <c r="G30" i="4"/>
  <c r="F30" i="4"/>
  <c r="E30" i="4"/>
  <c r="C30" i="4"/>
  <c r="A30" i="4"/>
  <c r="K29" i="4"/>
  <c r="J29" i="4"/>
  <c r="G29" i="4"/>
  <c r="F29" i="4"/>
  <c r="E29" i="4"/>
  <c r="C29" i="4"/>
  <c r="A29" i="4"/>
  <c r="K28" i="4"/>
  <c r="J28" i="4"/>
  <c r="G28" i="4"/>
  <c r="F28" i="4"/>
  <c r="E28" i="4"/>
  <c r="C28" i="4"/>
  <c r="A28" i="4"/>
  <c r="K27" i="4"/>
  <c r="J27" i="4"/>
  <c r="G27" i="4"/>
  <c r="F27" i="4"/>
  <c r="E27" i="4"/>
  <c r="C27" i="4"/>
  <c r="A27" i="4"/>
  <c r="K26" i="4"/>
  <c r="J26" i="4"/>
  <c r="G26" i="4"/>
  <c r="F26" i="4"/>
  <c r="E26" i="4"/>
  <c r="C26" i="4"/>
  <c r="A26" i="4"/>
  <c r="K25" i="4"/>
  <c r="J25" i="4"/>
  <c r="G25" i="4"/>
  <c r="F25" i="4"/>
  <c r="E25" i="4"/>
  <c r="C25" i="4"/>
  <c r="A25" i="4"/>
  <c r="K24" i="4"/>
  <c r="J24" i="4"/>
  <c r="G24" i="4"/>
  <c r="F24" i="4"/>
  <c r="E24" i="4"/>
  <c r="C24" i="4"/>
  <c r="A24" i="4"/>
  <c r="K23" i="4"/>
  <c r="J23" i="4"/>
  <c r="G23" i="4"/>
  <c r="F23" i="4"/>
  <c r="E23" i="4"/>
  <c r="C23" i="4"/>
  <c r="A23" i="4"/>
  <c r="K22" i="4"/>
  <c r="J22" i="4"/>
  <c r="G22" i="4"/>
  <c r="F22" i="4"/>
  <c r="E22" i="4"/>
  <c r="C22" i="4"/>
  <c r="A22" i="4"/>
  <c r="K21" i="4"/>
  <c r="J21" i="4"/>
  <c r="G21" i="4"/>
  <c r="F21" i="4"/>
  <c r="E21" i="4"/>
  <c r="C21" i="4"/>
  <c r="A21" i="4"/>
  <c r="K20" i="4"/>
  <c r="J20" i="4"/>
  <c r="G20" i="4"/>
  <c r="F20" i="4"/>
  <c r="E20" i="4"/>
  <c r="C20" i="4"/>
  <c r="A20" i="4"/>
  <c r="K19" i="4"/>
  <c r="J19" i="4"/>
  <c r="G19" i="4"/>
  <c r="F19" i="4"/>
  <c r="E19" i="4"/>
  <c r="C19" i="4"/>
  <c r="A19" i="4"/>
  <c r="K18" i="4"/>
  <c r="J18" i="4"/>
  <c r="G18" i="4"/>
  <c r="F18" i="4"/>
  <c r="E18" i="4"/>
  <c r="C18" i="4"/>
  <c r="A18" i="4"/>
  <c r="K17" i="4"/>
  <c r="J17" i="4"/>
  <c r="G17" i="4"/>
  <c r="F17" i="4"/>
  <c r="E17" i="4"/>
  <c r="C17" i="4"/>
  <c r="A17" i="4"/>
  <c r="K16" i="4"/>
  <c r="J16" i="4"/>
  <c r="G16" i="4"/>
  <c r="F16" i="4"/>
  <c r="E16" i="4"/>
  <c r="C16" i="4"/>
  <c r="A16" i="4"/>
  <c r="K15" i="4"/>
  <c r="J15" i="4"/>
  <c r="G15" i="4"/>
  <c r="F15" i="4"/>
  <c r="E15" i="4"/>
  <c r="C15" i="4"/>
  <c r="A15" i="4"/>
  <c r="K14" i="4"/>
  <c r="J14" i="4"/>
  <c r="G14" i="4"/>
  <c r="F14" i="4"/>
  <c r="E14" i="4"/>
  <c r="C14" i="4"/>
  <c r="A14" i="4"/>
  <c r="K13" i="4"/>
  <c r="J13" i="4"/>
  <c r="G13" i="4"/>
  <c r="F13" i="4"/>
  <c r="E13" i="4"/>
  <c r="C13" i="4"/>
  <c r="A13" i="4"/>
  <c r="K12" i="4"/>
  <c r="J12" i="4"/>
  <c r="G12" i="4"/>
  <c r="F12" i="4"/>
  <c r="E12" i="4"/>
  <c r="C12" i="4"/>
  <c r="A12" i="4"/>
  <c r="K11" i="4"/>
  <c r="J11" i="4"/>
  <c r="G11" i="4"/>
  <c r="F11" i="4"/>
  <c r="E11" i="4"/>
  <c r="C11" i="4"/>
  <c r="A11" i="4"/>
  <c r="K10" i="4"/>
  <c r="J10" i="4"/>
  <c r="G10" i="4"/>
  <c r="F10" i="4"/>
  <c r="E10" i="4"/>
  <c r="C10" i="4"/>
  <c r="A10" i="4"/>
  <c r="K9" i="4"/>
  <c r="J9" i="4"/>
  <c r="G9" i="4"/>
  <c r="F9" i="4"/>
  <c r="E9" i="4"/>
  <c r="C9" i="4"/>
  <c r="A9" i="4"/>
  <c r="K8" i="4"/>
  <c r="J8" i="4"/>
  <c r="G8" i="4"/>
  <c r="F8" i="4"/>
  <c r="E8" i="4"/>
  <c r="C8" i="4"/>
  <c r="A8" i="4"/>
  <c r="K7" i="4"/>
  <c r="J7" i="4"/>
  <c r="G7" i="4"/>
  <c r="F7" i="4"/>
  <c r="E7" i="4"/>
  <c r="C7" i="4"/>
  <c r="A7" i="4"/>
  <c r="K6" i="4"/>
  <c r="J6" i="4"/>
  <c r="G6" i="4"/>
  <c r="F6" i="4"/>
  <c r="E6" i="4"/>
  <c r="C6" i="4"/>
  <c r="A6" i="4"/>
  <c r="K5" i="4"/>
  <c r="J5" i="4"/>
  <c r="G5" i="4"/>
  <c r="F5" i="4"/>
  <c r="E5" i="4"/>
  <c r="C5" i="4"/>
  <c r="A5" i="4"/>
  <c r="N26" i="3"/>
  <c r="M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A14" i="2"/>
  <c r="A13" i="2"/>
  <c r="A12" i="2"/>
  <c r="A11" i="2"/>
  <c r="A10" i="2"/>
  <c r="A9" i="2"/>
  <c r="A7" i="2"/>
  <c r="A6" i="2"/>
  <c r="B15" i="1"/>
  <c r="R23" i="7" l="1"/>
  <c r="S5" i="7"/>
  <c r="T5" i="7" s="1"/>
  <c r="T23" i="7" s="1"/>
  <c r="O5" i="7"/>
  <c r="P5" i="7" s="1"/>
  <c r="P23" i="7" s="1"/>
  <c r="N23" i="7"/>
  <c r="K5" i="7"/>
  <c r="L5" i="7" s="1"/>
  <c r="L23" i="7" s="1"/>
  <c r="J23" i="7"/>
  <c r="G5" i="7"/>
  <c r="H5" i="7" s="1"/>
  <c r="F23" i="7"/>
  <c r="R186" i="6"/>
  <c r="T186" i="6" s="1"/>
  <c r="Q186" i="6"/>
  <c r="S186" i="6"/>
  <c r="P186" i="6"/>
  <c r="N186" i="6"/>
  <c r="O186" i="6" s="1"/>
  <c r="U186" i="6" s="1"/>
  <c r="V186" i="6" s="1"/>
  <c r="P185" i="6"/>
  <c r="N185" i="6"/>
  <c r="O185" i="6" s="1"/>
  <c r="R185" i="6"/>
  <c r="T185" i="6" s="1"/>
  <c r="Q185" i="6"/>
  <c r="S185" i="6"/>
  <c r="Q184" i="6"/>
  <c r="R184" i="6"/>
  <c r="T184" i="6" s="1"/>
  <c r="N184" i="6"/>
  <c r="O184" i="6" s="1"/>
  <c r="P184" i="6"/>
  <c r="S184" i="6"/>
  <c r="S183" i="6"/>
  <c r="P183" i="6"/>
  <c r="N183" i="6"/>
  <c r="O183" i="6" s="1"/>
  <c r="Q183" i="6"/>
  <c r="R183" i="6"/>
  <c r="T183" i="6" s="1"/>
  <c r="R182" i="6"/>
  <c r="T182" i="6" s="1"/>
  <c r="N182" i="6"/>
  <c r="O182" i="6" s="1"/>
  <c r="Q182" i="6"/>
  <c r="S182" i="6"/>
  <c r="P182" i="6"/>
  <c r="P181" i="6"/>
  <c r="N181" i="6"/>
  <c r="O181" i="6" s="1"/>
  <c r="Q181" i="6"/>
  <c r="R181" i="6"/>
  <c r="T181" i="6" s="1"/>
  <c r="S181" i="6"/>
  <c r="P180" i="6"/>
  <c r="R180" i="6"/>
  <c r="T180" i="6" s="1"/>
  <c r="Q180" i="6"/>
  <c r="S180" i="6"/>
  <c r="N180" i="6"/>
  <c r="O180" i="6" s="1"/>
  <c r="S179" i="6"/>
  <c r="R179" i="6"/>
  <c r="T179" i="6" s="1"/>
  <c r="N179" i="6"/>
  <c r="O179" i="6" s="1"/>
  <c r="P179" i="6"/>
  <c r="Q179" i="6"/>
  <c r="Q178" i="6"/>
  <c r="N178" i="6"/>
  <c r="O178" i="6" s="1"/>
  <c r="S178" i="6"/>
  <c r="P178" i="6"/>
  <c r="R178" i="6"/>
  <c r="T178" i="6" s="1"/>
  <c r="S177" i="6"/>
  <c r="R177" i="6"/>
  <c r="T177" i="6" s="1"/>
  <c r="Q177" i="6"/>
  <c r="P177" i="6"/>
  <c r="N177" i="6"/>
  <c r="O177" i="6" s="1"/>
  <c r="S176" i="6"/>
  <c r="P176" i="6"/>
  <c r="Q176" i="6"/>
  <c r="R176" i="6"/>
  <c r="T176" i="6" s="1"/>
  <c r="N176" i="6"/>
  <c r="O176" i="6" s="1"/>
  <c r="U176" i="6" s="1"/>
  <c r="V176" i="6" s="1"/>
  <c r="N175" i="6"/>
  <c r="O175" i="6" s="1"/>
  <c r="P175" i="6"/>
  <c r="Q175" i="6"/>
  <c r="R175" i="6"/>
  <c r="T175" i="6" s="1"/>
  <c r="S175" i="6"/>
  <c r="Q174" i="6"/>
  <c r="R174" i="6"/>
  <c r="T174" i="6" s="1"/>
  <c r="N174" i="6"/>
  <c r="O174" i="6" s="1"/>
  <c r="P174" i="6"/>
  <c r="S174" i="6"/>
  <c r="S173" i="6"/>
  <c r="R173" i="6"/>
  <c r="T173" i="6" s="1"/>
  <c r="P173" i="6"/>
  <c r="Q173" i="6"/>
  <c r="N173" i="6"/>
  <c r="O173" i="6" s="1"/>
  <c r="U173" i="6" s="1"/>
  <c r="V173" i="6" s="1"/>
  <c r="P172" i="6"/>
  <c r="Q172" i="6"/>
  <c r="N172" i="6"/>
  <c r="O172" i="6" s="1"/>
  <c r="S172" i="6"/>
  <c r="R172" i="6"/>
  <c r="T172" i="6" s="1"/>
  <c r="S171" i="6"/>
  <c r="R171" i="6"/>
  <c r="N171" i="6"/>
  <c r="O171" i="6" s="1"/>
  <c r="Q171" i="6"/>
  <c r="P171" i="6"/>
  <c r="S170" i="6"/>
  <c r="Q170" i="6"/>
  <c r="P170" i="6"/>
  <c r="R170" i="6"/>
  <c r="T170" i="6" s="1"/>
  <c r="N170" i="6"/>
  <c r="O170" i="6" s="1"/>
  <c r="P169" i="6"/>
  <c r="R169" i="6"/>
  <c r="T169" i="6" s="1"/>
  <c r="N169" i="6"/>
  <c r="O169" i="6" s="1"/>
  <c r="S169" i="6"/>
  <c r="Q169" i="6"/>
  <c r="P168" i="6"/>
  <c r="R168" i="6"/>
  <c r="T168" i="6" s="1"/>
  <c r="Q168" i="6"/>
  <c r="S168" i="6"/>
  <c r="N168" i="6"/>
  <c r="O168" i="6" s="1"/>
  <c r="U168" i="6" s="1"/>
  <c r="V168" i="6" s="1"/>
  <c r="S167" i="6"/>
  <c r="R167" i="6"/>
  <c r="T167" i="6" s="1"/>
  <c r="N167" i="6"/>
  <c r="O167" i="6" s="1"/>
  <c r="U167" i="6" s="1"/>
  <c r="V167" i="6" s="1"/>
  <c r="P167" i="6"/>
  <c r="Q167" i="6"/>
  <c r="N166" i="6"/>
  <c r="O166" i="6" s="1"/>
  <c r="Q166" i="6"/>
  <c r="R166" i="6"/>
  <c r="P166" i="6"/>
  <c r="S166" i="6"/>
  <c r="R165" i="6"/>
  <c r="S165" i="6"/>
  <c r="N165" i="6"/>
  <c r="O165" i="6" s="1"/>
  <c r="Q165" i="6"/>
  <c r="P165" i="6"/>
  <c r="N164" i="6"/>
  <c r="O164" i="6" s="1"/>
  <c r="Q164" i="6"/>
  <c r="S164" i="6"/>
  <c r="R164" i="6"/>
  <c r="T164" i="6" s="1"/>
  <c r="P164" i="6"/>
  <c r="S163" i="6"/>
  <c r="N163" i="6"/>
  <c r="O163" i="6" s="1"/>
  <c r="Q163" i="6"/>
  <c r="R163" i="6"/>
  <c r="T163" i="6" s="1"/>
  <c r="P163" i="6"/>
  <c r="R162" i="6"/>
  <c r="Q162" i="6"/>
  <c r="N162" i="6"/>
  <c r="O162" i="6" s="1"/>
  <c r="P162" i="6"/>
  <c r="S162" i="6"/>
  <c r="R161" i="6"/>
  <c r="T161" i="6" s="1"/>
  <c r="P161" i="6"/>
  <c r="S161" i="6"/>
  <c r="N161" i="6"/>
  <c r="O161" i="6" s="1"/>
  <c r="U161" i="6" s="1"/>
  <c r="V161" i="6" s="1"/>
  <c r="Q161" i="6"/>
  <c r="Q160" i="6"/>
  <c r="P160" i="6"/>
  <c r="N160" i="6"/>
  <c r="O160" i="6" s="1"/>
  <c r="S160" i="6"/>
  <c r="R160" i="6"/>
  <c r="T160" i="6" s="1"/>
  <c r="P159" i="6"/>
  <c r="Q159" i="6"/>
  <c r="S159" i="6"/>
  <c r="R159" i="6"/>
  <c r="T159" i="6" s="1"/>
  <c r="N159" i="6"/>
  <c r="O159" i="6" s="1"/>
  <c r="N158" i="6"/>
  <c r="O158" i="6" s="1"/>
  <c r="S158" i="6"/>
  <c r="Q158" i="6"/>
  <c r="P158" i="6"/>
  <c r="R158" i="6"/>
  <c r="T158" i="6" s="1"/>
  <c r="P157" i="6"/>
  <c r="N157" i="6"/>
  <c r="O157" i="6" s="1"/>
  <c r="S157" i="6"/>
  <c r="R157" i="6"/>
  <c r="T157" i="6" s="1"/>
  <c r="Q157" i="6"/>
  <c r="C6" i="8"/>
  <c r="D6" i="8" s="1"/>
  <c r="C7" i="8"/>
  <c r="D7" i="8" s="1"/>
  <c r="C8" i="8"/>
  <c r="D8" i="8" s="1"/>
  <c r="I20" i="9"/>
  <c r="G22" i="9"/>
  <c r="V24" i="9"/>
  <c r="E20" i="9"/>
  <c r="I19" i="9"/>
  <c r="E26" i="9"/>
  <c r="V18" i="9"/>
  <c r="G27" i="9"/>
  <c r="G25" i="9"/>
  <c r="G23" i="9"/>
  <c r="I22" i="9"/>
  <c r="V20" i="9"/>
  <c r="E17" i="9"/>
  <c r="I7" i="9"/>
  <c r="G17" i="9"/>
  <c r="G20" i="9"/>
  <c r="E22" i="9"/>
  <c r="I24" i="9"/>
  <c r="G16" i="9"/>
  <c r="G19" i="9"/>
  <c r="V21" i="9"/>
  <c r="G24" i="9"/>
  <c r="V27" i="9"/>
  <c r="I25" i="9"/>
  <c r="I27" i="9"/>
  <c r="E27" i="9"/>
  <c r="V26" i="9"/>
  <c r="I21" i="9"/>
  <c r="G18" i="9"/>
  <c r="E18" i="9"/>
  <c r="I17" i="9"/>
  <c r="I26" i="9"/>
  <c r="E25" i="9"/>
  <c r="I23" i="9"/>
  <c r="G21" i="9"/>
  <c r="V17" i="9"/>
  <c r="E24" i="9"/>
  <c r="E19" i="9"/>
  <c r="E16" i="9"/>
  <c r="C7" i="9"/>
  <c r="E21" i="9"/>
  <c r="V22" i="9"/>
  <c r="V25" i="9"/>
  <c r="E23" i="9"/>
  <c r="V19" i="9"/>
  <c r="G26" i="9"/>
  <c r="I157" i="6"/>
  <c r="V23" i="9"/>
  <c r="I16" i="9"/>
  <c r="I28" i="9" s="1"/>
  <c r="V16" i="9"/>
  <c r="I18" i="9"/>
  <c r="S156" i="6"/>
  <c r="Q156" i="6"/>
  <c r="N156" i="6"/>
  <c r="O156" i="6" s="1"/>
  <c r="P156" i="6"/>
  <c r="R156" i="6"/>
  <c r="T156" i="6" s="1"/>
  <c r="P151" i="6"/>
  <c r="N151" i="6"/>
  <c r="O151" i="6" s="1"/>
  <c r="S151" i="6"/>
  <c r="R151" i="6"/>
  <c r="Q151" i="6"/>
  <c r="S150" i="6"/>
  <c r="R150" i="6"/>
  <c r="P150" i="6"/>
  <c r="N150" i="6"/>
  <c r="O150" i="6" s="1"/>
  <c r="Q150" i="6"/>
  <c r="N149" i="6"/>
  <c r="O149" i="6" s="1"/>
  <c r="P149" i="6"/>
  <c r="Q149" i="6"/>
  <c r="R149" i="6"/>
  <c r="T149" i="6" s="1"/>
  <c r="S149" i="6"/>
  <c r="N148" i="6"/>
  <c r="O148" i="6" s="1"/>
  <c r="P148" i="6"/>
  <c r="Q148" i="6"/>
  <c r="S148" i="6"/>
  <c r="R148" i="6"/>
  <c r="T148" i="6" s="1"/>
  <c r="S147" i="6"/>
  <c r="R147" i="6"/>
  <c r="P147" i="6"/>
  <c r="N147" i="6"/>
  <c r="O147" i="6" s="1"/>
  <c r="Q147" i="6"/>
  <c r="S146" i="6"/>
  <c r="R146" i="6"/>
  <c r="Q146" i="6"/>
  <c r="P146" i="6"/>
  <c r="N146" i="6"/>
  <c r="O146" i="6" s="1"/>
  <c r="S145" i="6"/>
  <c r="R145" i="6"/>
  <c r="Q145" i="6"/>
  <c r="P145" i="6"/>
  <c r="N145" i="6"/>
  <c r="O145" i="6" s="1"/>
  <c r="S144" i="6"/>
  <c r="R144" i="6"/>
  <c r="Q144" i="6"/>
  <c r="P144" i="6"/>
  <c r="N144" i="6"/>
  <c r="O144" i="6" s="1"/>
  <c r="N143" i="6"/>
  <c r="O143" i="6" s="1"/>
  <c r="S143" i="6"/>
  <c r="R143" i="6"/>
  <c r="Q143" i="6"/>
  <c r="P143" i="6"/>
  <c r="R142" i="6"/>
  <c r="Q142" i="6"/>
  <c r="P142" i="6"/>
  <c r="N142" i="6"/>
  <c r="O142" i="6" s="1"/>
  <c r="S142" i="6"/>
  <c r="R141" i="6"/>
  <c r="Q141" i="6"/>
  <c r="P141" i="6"/>
  <c r="N141" i="6"/>
  <c r="O141" i="6" s="1"/>
  <c r="S141" i="6"/>
  <c r="S140" i="6"/>
  <c r="R140" i="6"/>
  <c r="Q140" i="6"/>
  <c r="P140" i="6"/>
  <c r="N140" i="6"/>
  <c r="O140" i="6" s="1"/>
  <c r="S139" i="6"/>
  <c r="R139" i="6"/>
  <c r="P139" i="6"/>
  <c r="N139" i="6"/>
  <c r="O139" i="6" s="1"/>
  <c r="Q139" i="6"/>
  <c r="R138" i="6"/>
  <c r="P138" i="6"/>
  <c r="S138" i="6"/>
  <c r="Q138" i="6"/>
  <c r="N138" i="6"/>
  <c r="O138" i="6" s="1"/>
  <c r="N137" i="6"/>
  <c r="O137" i="6" s="1"/>
  <c r="P137" i="6"/>
  <c r="Q137" i="6"/>
  <c r="R137" i="6"/>
  <c r="T137" i="6" s="1"/>
  <c r="S137" i="6"/>
  <c r="S136" i="6"/>
  <c r="N136" i="6"/>
  <c r="O136" i="6" s="1"/>
  <c r="P136" i="6"/>
  <c r="Q136" i="6"/>
  <c r="R136" i="6"/>
  <c r="T136" i="6" s="1"/>
  <c r="R135" i="6"/>
  <c r="P135" i="6"/>
  <c r="N135" i="6"/>
  <c r="O135" i="6" s="1"/>
  <c r="Q135" i="6"/>
  <c r="S135" i="6"/>
  <c r="R134" i="6"/>
  <c r="S134" i="6"/>
  <c r="Q134" i="6"/>
  <c r="P134" i="6"/>
  <c r="N134" i="6"/>
  <c r="O134" i="6" s="1"/>
  <c r="Q133" i="6"/>
  <c r="S133" i="6"/>
  <c r="R133" i="6"/>
  <c r="P133" i="6"/>
  <c r="N133" i="6"/>
  <c r="O133" i="6" s="1"/>
  <c r="Q132" i="6"/>
  <c r="P132" i="6"/>
  <c r="N132" i="6"/>
  <c r="O132" i="6" s="1"/>
  <c r="S132" i="6"/>
  <c r="R132" i="6"/>
  <c r="T132" i="6" s="1"/>
  <c r="R131" i="6"/>
  <c r="Q131" i="6"/>
  <c r="N131" i="6"/>
  <c r="O131" i="6" s="1"/>
  <c r="P131" i="6"/>
  <c r="S131" i="6"/>
  <c r="S130" i="6"/>
  <c r="R130" i="6"/>
  <c r="Q130" i="6"/>
  <c r="P130" i="6"/>
  <c r="N130" i="6"/>
  <c r="O130" i="6" s="1"/>
  <c r="S129" i="6"/>
  <c r="R129" i="6"/>
  <c r="Q129" i="6"/>
  <c r="P129" i="6"/>
  <c r="N129" i="6"/>
  <c r="O129" i="6" s="1"/>
  <c r="S128" i="6"/>
  <c r="R128" i="6"/>
  <c r="Q128" i="6"/>
  <c r="P128" i="6"/>
  <c r="N128" i="6"/>
  <c r="O128" i="6" s="1"/>
  <c r="Q127" i="6"/>
  <c r="P127" i="6"/>
  <c r="N127" i="6"/>
  <c r="O127" i="6" s="1"/>
  <c r="S127" i="6"/>
  <c r="R127" i="6"/>
  <c r="T127" i="6" s="1"/>
  <c r="R126" i="6"/>
  <c r="Q126" i="6"/>
  <c r="P126" i="6"/>
  <c r="N126" i="6"/>
  <c r="O126" i="6" s="1"/>
  <c r="S126" i="6"/>
  <c r="R125" i="6"/>
  <c r="S125" i="6"/>
  <c r="Q125" i="6"/>
  <c r="P125" i="6"/>
  <c r="N125" i="6"/>
  <c r="O125" i="6" s="1"/>
  <c r="R124" i="6"/>
  <c r="S124" i="6"/>
  <c r="Q124" i="6"/>
  <c r="P124" i="6"/>
  <c r="N124" i="6"/>
  <c r="O124" i="6" s="1"/>
  <c r="N123" i="6"/>
  <c r="O123" i="6" s="1"/>
  <c r="S123" i="6"/>
  <c r="R123" i="6"/>
  <c r="Q123" i="6"/>
  <c r="P123" i="6"/>
  <c r="Q122" i="6"/>
  <c r="P122" i="6"/>
  <c r="N122" i="6"/>
  <c r="O122" i="6" s="1"/>
  <c r="S122" i="6"/>
  <c r="R122" i="6"/>
  <c r="T122" i="6" s="1"/>
  <c r="Q121" i="6"/>
  <c r="P121" i="6"/>
  <c r="N121" i="6"/>
  <c r="O121" i="6" s="1"/>
  <c r="S121" i="6"/>
  <c r="R121" i="6"/>
  <c r="T121" i="6" s="1"/>
  <c r="S120" i="6"/>
  <c r="R120" i="6"/>
  <c r="Q120" i="6"/>
  <c r="P120" i="6"/>
  <c r="N120" i="6"/>
  <c r="O120" i="6" s="1"/>
  <c r="N114" i="6"/>
  <c r="O114" i="6" s="1"/>
  <c r="P114" i="6"/>
  <c r="Q114" i="6"/>
  <c r="S114" i="6"/>
  <c r="R114" i="6"/>
  <c r="T114" i="6" s="1"/>
  <c r="S113" i="6"/>
  <c r="Q113" i="6"/>
  <c r="P113" i="6"/>
  <c r="R113" i="6"/>
  <c r="T113" i="6" s="1"/>
  <c r="N113" i="6"/>
  <c r="O113" i="6" s="1"/>
  <c r="U113" i="6" s="1"/>
  <c r="V113" i="6" s="1"/>
  <c r="R112" i="6"/>
  <c r="Q112" i="6"/>
  <c r="P112" i="6"/>
  <c r="N112" i="6"/>
  <c r="O112" i="6" s="1"/>
  <c r="S112" i="6"/>
  <c r="S111" i="6"/>
  <c r="R111" i="6"/>
  <c r="Q111" i="6"/>
  <c r="P111" i="6"/>
  <c r="N111" i="6"/>
  <c r="O111" i="6" s="1"/>
  <c r="S110" i="6"/>
  <c r="R110" i="6"/>
  <c r="Q110" i="6"/>
  <c r="P110" i="6"/>
  <c r="N110" i="6"/>
  <c r="O110" i="6" s="1"/>
  <c r="P109" i="6"/>
  <c r="N109" i="6"/>
  <c r="O109" i="6" s="1"/>
  <c r="S109" i="6"/>
  <c r="R109" i="6"/>
  <c r="T109" i="6" s="1"/>
  <c r="Q109" i="6"/>
  <c r="S108" i="6"/>
  <c r="R108" i="6"/>
  <c r="P108" i="6"/>
  <c r="N108" i="6"/>
  <c r="O108" i="6" s="1"/>
  <c r="Q108" i="6"/>
  <c r="S107" i="6"/>
  <c r="R107" i="6"/>
  <c r="P107" i="6"/>
  <c r="Q107" i="6"/>
  <c r="N107" i="6"/>
  <c r="O107" i="6" s="1"/>
  <c r="S106" i="6"/>
  <c r="R106" i="6"/>
  <c r="Q106" i="6"/>
  <c r="P106" i="6"/>
  <c r="N106" i="6"/>
  <c r="O106" i="6" s="1"/>
  <c r="S105" i="6"/>
  <c r="R105" i="6"/>
  <c r="Q105" i="6"/>
  <c r="P105" i="6"/>
  <c r="N105" i="6"/>
  <c r="O105" i="6" s="1"/>
  <c r="N104" i="6"/>
  <c r="O104" i="6" s="1"/>
  <c r="P104" i="6"/>
  <c r="Q104" i="6"/>
  <c r="R104" i="6"/>
  <c r="T104" i="6" s="1"/>
  <c r="S104" i="6"/>
  <c r="S103" i="6"/>
  <c r="R103" i="6"/>
  <c r="Q103" i="6"/>
  <c r="P103" i="6"/>
  <c r="N103" i="6"/>
  <c r="O103" i="6" s="1"/>
  <c r="P102" i="6"/>
  <c r="S102" i="6"/>
  <c r="R102" i="6"/>
  <c r="T102" i="6" s="1"/>
  <c r="Q102" i="6"/>
  <c r="N102" i="6"/>
  <c r="O102" i="6" s="1"/>
  <c r="U102" i="6" s="1"/>
  <c r="V102" i="6" s="1"/>
  <c r="N101" i="6"/>
  <c r="O101" i="6" s="1"/>
  <c r="P101" i="6"/>
  <c r="S101" i="6"/>
  <c r="R101" i="6"/>
  <c r="T101" i="6" s="1"/>
  <c r="Q101" i="6"/>
  <c r="N100" i="6"/>
  <c r="O100" i="6" s="1"/>
  <c r="P100" i="6"/>
  <c r="Q100" i="6"/>
  <c r="R100" i="6"/>
  <c r="T100" i="6" s="1"/>
  <c r="S100" i="6"/>
  <c r="N99" i="6"/>
  <c r="O99" i="6" s="1"/>
  <c r="S99" i="6"/>
  <c r="R99" i="6"/>
  <c r="Q99" i="6"/>
  <c r="P99" i="6"/>
  <c r="N98" i="6"/>
  <c r="O98" i="6" s="1"/>
  <c r="P98" i="6"/>
  <c r="R98" i="6"/>
  <c r="T98" i="6" s="1"/>
  <c r="S98" i="6"/>
  <c r="Q98" i="6"/>
  <c r="R97" i="6"/>
  <c r="N97" i="6"/>
  <c r="O97" i="6" s="1"/>
  <c r="P97" i="6"/>
  <c r="Q97" i="6"/>
  <c r="S97" i="6"/>
  <c r="R96" i="6"/>
  <c r="Q96" i="6"/>
  <c r="P96" i="6"/>
  <c r="N96" i="6"/>
  <c r="O96" i="6" s="1"/>
  <c r="S96" i="6"/>
  <c r="S95" i="6"/>
  <c r="Q95" i="6"/>
  <c r="P95" i="6"/>
  <c r="N95" i="6"/>
  <c r="O95" i="6" s="1"/>
  <c r="R95" i="6"/>
  <c r="T95" i="6" s="1"/>
  <c r="N94" i="6"/>
  <c r="O94" i="6" s="1"/>
  <c r="P94" i="6"/>
  <c r="Q94" i="6"/>
  <c r="R94" i="6"/>
  <c r="T94" i="6" s="1"/>
  <c r="S94" i="6"/>
  <c r="R93" i="6"/>
  <c r="N93" i="6"/>
  <c r="O93" i="6" s="1"/>
  <c r="P93" i="6"/>
  <c r="Q93" i="6"/>
  <c r="S93" i="6"/>
  <c r="Q92" i="6"/>
  <c r="P92" i="6"/>
  <c r="N92" i="6"/>
  <c r="O92" i="6" s="1"/>
  <c r="S92" i="6"/>
  <c r="R92" i="6"/>
  <c r="T92" i="6" s="1"/>
  <c r="S91" i="6"/>
  <c r="R91" i="6"/>
  <c r="T91" i="6" s="1"/>
  <c r="Q91" i="6"/>
  <c r="N91" i="6"/>
  <c r="O91" i="6" s="1"/>
  <c r="U91" i="6" s="1"/>
  <c r="V91" i="6" s="1"/>
  <c r="P91" i="6"/>
  <c r="S90" i="6"/>
  <c r="R90" i="6"/>
  <c r="Q90" i="6"/>
  <c r="P90" i="6"/>
  <c r="N90" i="6"/>
  <c r="O90" i="6" s="1"/>
  <c r="Q89" i="6"/>
  <c r="R89" i="6"/>
  <c r="N89" i="6"/>
  <c r="O89" i="6" s="1"/>
  <c r="P89" i="6"/>
  <c r="S89" i="6"/>
  <c r="P88" i="6"/>
  <c r="N88" i="6"/>
  <c r="O88" i="6" s="1"/>
  <c r="Q88" i="6"/>
  <c r="R88" i="6"/>
  <c r="T88" i="6" s="1"/>
  <c r="S88" i="6"/>
  <c r="Q87" i="6"/>
  <c r="N87" i="6"/>
  <c r="O87" i="6" s="1"/>
  <c r="U87" i="6" s="1"/>
  <c r="V87" i="6" s="1"/>
  <c r="P87" i="6"/>
  <c r="R87" i="6"/>
  <c r="T87" i="6" s="1"/>
  <c r="S87" i="6"/>
  <c r="R86" i="6"/>
  <c r="Q86" i="6"/>
  <c r="N86" i="6"/>
  <c r="O86" i="6" s="1"/>
  <c r="P86" i="6"/>
  <c r="S86" i="6"/>
  <c r="N85" i="6"/>
  <c r="O85" i="6" s="1"/>
  <c r="P85" i="6"/>
  <c r="Q85" i="6"/>
  <c r="R85" i="6"/>
  <c r="T85" i="6" s="1"/>
  <c r="S85" i="6"/>
  <c r="S84" i="6"/>
  <c r="R84" i="6"/>
  <c r="Q84" i="6"/>
  <c r="P84" i="6"/>
  <c r="N84" i="6"/>
  <c r="O84" i="6" s="1"/>
  <c r="S77" i="6"/>
  <c r="R77" i="6"/>
  <c r="Q77" i="6"/>
  <c r="P77" i="6"/>
  <c r="N77" i="6"/>
  <c r="O77" i="6" s="1"/>
  <c r="S76" i="6"/>
  <c r="R76" i="6"/>
  <c r="Q76" i="6"/>
  <c r="P76" i="6"/>
  <c r="N76" i="6"/>
  <c r="O76" i="6" s="1"/>
  <c r="P75" i="6"/>
  <c r="N75" i="6"/>
  <c r="O75" i="6" s="1"/>
  <c r="S75" i="6"/>
  <c r="R75" i="6"/>
  <c r="Q75" i="6"/>
  <c r="Q74" i="6"/>
  <c r="R74" i="6"/>
  <c r="S74" i="6"/>
  <c r="P74" i="6"/>
  <c r="N74" i="6"/>
  <c r="O74" i="6" s="1"/>
  <c r="P73" i="6"/>
  <c r="N73" i="6"/>
  <c r="O73" i="6" s="1"/>
  <c r="Q73" i="6"/>
  <c r="R73" i="6"/>
  <c r="T73" i="6" s="1"/>
  <c r="S73" i="6"/>
  <c r="N72" i="6"/>
  <c r="O72" i="6" s="1"/>
  <c r="P72" i="6"/>
  <c r="Q72" i="6"/>
  <c r="R72" i="6"/>
  <c r="T72" i="6" s="1"/>
  <c r="S72" i="6"/>
  <c r="N71" i="6"/>
  <c r="O71" i="6" s="1"/>
  <c r="P71" i="6"/>
  <c r="Q71" i="6"/>
  <c r="R71" i="6"/>
  <c r="T71" i="6" s="1"/>
  <c r="S71" i="6"/>
  <c r="Q70" i="6"/>
  <c r="P70" i="6"/>
  <c r="N70" i="6"/>
  <c r="O70" i="6" s="1"/>
  <c r="R70" i="6"/>
  <c r="T70" i="6" s="1"/>
  <c r="S70" i="6"/>
  <c r="R69" i="6"/>
  <c r="Q69" i="6"/>
  <c r="P69" i="6"/>
  <c r="S69" i="6"/>
  <c r="N69" i="6"/>
  <c r="O69" i="6" s="1"/>
  <c r="R68" i="6"/>
  <c r="S68" i="6"/>
  <c r="N68" i="6"/>
  <c r="O68" i="6" s="1"/>
  <c r="P68" i="6"/>
  <c r="Q68" i="6"/>
  <c r="Q67" i="6"/>
  <c r="P67" i="6"/>
  <c r="N67" i="6"/>
  <c r="O67" i="6" s="1"/>
  <c r="R67" i="6"/>
  <c r="T67" i="6" s="1"/>
  <c r="S67" i="6"/>
  <c r="R66" i="6"/>
  <c r="S66" i="6"/>
  <c r="Q66" i="6"/>
  <c r="P66" i="6"/>
  <c r="N66" i="6"/>
  <c r="O66" i="6" s="1"/>
  <c r="P65" i="6"/>
  <c r="S65" i="6"/>
  <c r="R65" i="6"/>
  <c r="Q65" i="6"/>
  <c r="N65" i="6"/>
  <c r="O65" i="6" s="1"/>
  <c r="S64" i="6"/>
  <c r="Q64" i="6"/>
  <c r="R64" i="6"/>
  <c r="P64" i="6"/>
  <c r="N64" i="6"/>
  <c r="O64" i="6" s="1"/>
  <c r="S63" i="6"/>
  <c r="R63" i="6"/>
  <c r="P63" i="6"/>
  <c r="Q63" i="6"/>
  <c r="N63" i="6"/>
  <c r="O63" i="6" s="1"/>
  <c r="N62" i="6"/>
  <c r="O62" i="6" s="1"/>
  <c r="P62" i="6"/>
  <c r="Q62" i="6"/>
  <c r="R62" i="6"/>
  <c r="T62" i="6" s="1"/>
  <c r="S62" i="6"/>
  <c r="P61" i="6"/>
  <c r="N61" i="6"/>
  <c r="O61" i="6" s="1"/>
  <c r="Q61" i="6"/>
  <c r="R61" i="6"/>
  <c r="S61" i="6"/>
  <c r="S60" i="6"/>
  <c r="R60" i="6"/>
  <c r="Q60" i="6"/>
  <c r="P60" i="6"/>
  <c r="N60" i="6"/>
  <c r="O60" i="6" s="1"/>
  <c r="N59" i="6"/>
  <c r="O59" i="6" s="1"/>
  <c r="P59" i="6"/>
  <c r="Q59" i="6"/>
  <c r="S59" i="6"/>
  <c r="R59" i="6"/>
  <c r="T59" i="6" s="1"/>
  <c r="S58" i="6"/>
  <c r="P58" i="6"/>
  <c r="Q58" i="6"/>
  <c r="R58" i="6"/>
  <c r="T58" i="6" s="1"/>
  <c r="N58" i="6"/>
  <c r="O58" i="6" s="1"/>
  <c r="U58" i="6" s="1"/>
  <c r="V58" i="6" s="1"/>
  <c r="N57" i="6"/>
  <c r="O57" i="6" s="1"/>
  <c r="P57" i="6"/>
  <c r="Q57" i="6"/>
  <c r="R57" i="6"/>
  <c r="T57" i="6" s="1"/>
  <c r="S57" i="6"/>
  <c r="N56" i="6"/>
  <c r="O56" i="6" s="1"/>
  <c r="S56" i="6"/>
  <c r="R56" i="6"/>
  <c r="Q56" i="6"/>
  <c r="P56" i="6"/>
  <c r="R55" i="6"/>
  <c r="P55" i="6"/>
  <c r="N55" i="6"/>
  <c r="O55" i="6" s="1"/>
  <c r="Q55" i="6"/>
  <c r="S55" i="6"/>
  <c r="R54" i="6"/>
  <c r="N54" i="6"/>
  <c r="O54" i="6" s="1"/>
  <c r="P54" i="6"/>
  <c r="Q54" i="6"/>
  <c r="S54" i="6"/>
  <c r="P53" i="6"/>
  <c r="S53" i="6"/>
  <c r="N53" i="6"/>
  <c r="O53" i="6" s="1"/>
  <c r="Q53" i="6"/>
  <c r="R53" i="6"/>
  <c r="T53" i="6" s="1"/>
  <c r="N52" i="6"/>
  <c r="O52" i="6" s="1"/>
  <c r="P52" i="6"/>
  <c r="Q52" i="6"/>
  <c r="R52" i="6"/>
  <c r="T52" i="6" s="1"/>
  <c r="S52" i="6"/>
  <c r="R51" i="6"/>
  <c r="N51" i="6"/>
  <c r="O51" i="6" s="1"/>
  <c r="P51" i="6"/>
  <c r="S51" i="6"/>
  <c r="Q51" i="6"/>
  <c r="Q50" i="6"/>
  <c r="P50" i="6"/>
  <c r="R50" i="6"/>
  <c r="T50" i="6" s="1"/>
  <c r="S50" i="6"/>
  <c r="N50" i="6"/>
  <c r="O50" i="6" s="1"/>
  <c r="U50" i="6" s="1"/>
  <c r="V50" i="6" s="1"/>
  <c r="S49" i="6"/>
  <c r="R49" i="6"/>
  <c r="Q49" i="6"/>
  <c r="N49" i="6"/>
  <c r="O49" i="6" s="1"/>
  <c r="P49" i="6"/>
  <c r="R48" i="6"/>
  <c r="S48" i="6"/>
  <c r="N48" i="6"/>
  <c r="O48" i="6" s="1"/>
  <c r="P48" i="6"/>
  <c r="Q48" i="6"/>
  <c r="S38" i="6"/>
  <c r="Q38" i="6"/>
  <c r="P38" i="6"/>
  <c r="N38" i="6"/>
  <c r="O38" i="6" s="1"/>
  <c r="R38" i="6"/>
  <c r="T38" i="6" s="1"/>
  <c r="N37" i="6"/>
  <c r="O37" i="6" s="1"/>
  <c r="S37" i="6"/>
  <c r="P37" i="6"/>
  <c r="Q37" i="6"/>
  <c r="R37" i="6"/>
  <c r="T37" i="6" s="1"/>
  <c r="S36" i="6"/>
  <c r="R36" i="6"/>
  <c r="Q36" i="6"/>
  <c r="P36" i="6"/>
  <c r="N36" i="6"/>
  <c r="O36" i="6" s="1"/>
  <c r="R35" i="6"/>
  <c r="S35" i="6"/>
  <c r="P35" i="6"/>
  <c r="Q35" i="6"/>
  <c r="N35" i="6"/>
  <c r="O35" i="6" s="1"/>
  <c r="S34" i="6"/>
  <c r="Q34" i="6"/>
  <c r="P34" i="6"/>
  <c r="N34" i="6"/>
  <c r="O34" i="6" s="1"/>
  <c r="R34" i="6"/>
  <c r="T34" i="6" s="1"/>
  <c r="N33" i="6"/>
  <c r="O33" i="6" s="1"/>
  <c r="Q33" i="6"/>
  <c r="R33" i="6"/>
  <c r="S33" i="6"/>
  <c r="P33" i="6"/>
  <c r="S32" i="6"/>
  <c r="R32" i="6"/>
  <c r="Q32" i="6"/>
  <c r="P32" i="6"/>
  <c r="N32" i="6"/>
  <c r="O32" i="6" s="1"/>
  <c r="P31" i="6"/>
  <c r="Q31" i="6"/>
  <c r="R31" i="6"/>
  <c r="S31" i="6"/>
  <c r="N31" i="6"/>
  <c r="O31" i="6" s="1"/>
  <c r="S30" i="6"/>
  <c r="R30" i="6"/>
  <c r="T30" i="6" s="1"/>
  <c r="N30" i="6"/>
  <c r="O30" i="6" s="1"/>
  <c r="U30" i="6" s="1"/>
  <c r="V30" i="6" s="1"/>
  <c r="Q30" i="6"/>
  <c r="P30" i="6"/>
  <c r="N29" i="6"/>
  <c r="O29" i="6" s="1"/>
  <c r="Q29" i="6"/>
  <c r="R29" i="6"/>
  <c r="S29" i="6"/>
  <c r="P29" i="6"/>
  <c r="S28" i="6"/>
  <c r="R28" i="6"/>
  <c r="N28" i="6"/>
  <c r="O28" i="6" s="1"/>
  <c r="P28" i="6"/>
  <c r="Q28" i="6"/>
  <c r="Q27" i="6"/>
  <c r="S27" i="6"/>
  <c r="N27" i="6"/>
  <c r="O27" i="6" s="1"/>
  <c r="P27" i="6"/>
  <c r="R27" i="6"/>
  <c r="T27" i="6" s="1"/>
  <c r="R26" i="6"/>
  <c r="P26" i="6"/>
  <c r="N26" i="6"/>
  <c r="O26" i="6" s="1"/>
  <c r="Q26" i="6"/>
  <c r="S26" i="6"/>
  <c r="S25" i="6"/>
  <c r="R25" i="6"/>
  <c r="Q25" i="6"/>
  <c r="P25" i="6"/>
  <c r="N25" i="6"/>
  <c r="O25" i="6" s="1"/>
  <c r="P24" i="6"/>
  <c r="R24" i="6"/>
  <c r="T24" i="6" s="1"/>
  <c r="Q24" i="6"/>
  <c r="N24" i="6"/>
  <c r="O24" i="6" s="1"/>
  <c r="U24" i="6" s="1"/>
  <c r="V24" i="6" s="1"/>
  <c r="S24" i="6"/>
  <c r="N23" i="6"/>
  <c r="O23" i="6" s="1"/>
  <c r="P23" i="6"/>
  <c r="Q23" i="6"/>
  <c r="S23" i="6"/>
  <c r="R23" i="6"/>
  <c r="T23" i="6" s="1"/>
  <c r="N22" i="6"/>
  <c r="O22" i="6" s="1"/>
  <c r="P22" i="6"/>
  <c r="Q22" i="6"/>
  <c r="R22" i="6"/>
  <c r="T22" i="6" s="1"/>
  <c r="S22" i="6"/>
  <c r="Q21" i="6"/>
  <c r="N21" i="6"/>
  <c r="O21" i="6" s="1"/>
  <c r="R21" i="6"/>
  <c r="S21" i="6"/>
  <c r="P21" i="6"/>
  <c r="P20" i="6"/>
  <c r="N20" i="6"/>
  <c r="O20" i="6" s="1"/>
  <c r="Q20" i="6"/>
  <c r="R20" i="6"/>
  <c r="T20" i="6" s="1"/>
  <c r="S20" i="6"/>
  <c r="S19" i="6"/>
  <c r="R19" i="6"/>
  <c r="T19" i="6" s="1"/>
  <c r="Q19" i="6"/>
  <c r="P19" i="6"/>
  <c r="N19" i="6"/>
  <c r="O19" i="6" s="1"/>
  <c r="U19" i="6" s="1"/>
  <c r="V19" i="6" s="1"/>
  <c r="S18" i="6"/>
  <c r="R18" i="6"/>
  <c r="Q18" i="6"/>
  <c r="N18" i="6"/>
  <c r="O18" i="6" s="1"/>
  <c r="P18" i="6"/>
  <c r="N17" i="6"/>
  <c r="O17" i="6" s="1"/>
  <c r="P17" i="6"/>
  <c r="Q17" i="6"/>
  <c r="R17" i="6"/>
  <c r="S17" i="6"/>
  <c r="P16" i="6"/>
  <c r="N16" i="6"/>
  <c r="O16" i="6" s="1"/>
  <c r="Q16" i="6"/>
  <c r="R16" i="6"/>
  <c r="T16" i="6" s="1"/>
  <c r="S16" i="6"/>
  <c r="S15" i="6"/>
  <c r="N15" i="6"/>
  <c r="O15" i="6" s="1"/>
  <c r="Q15" i="6"/>
  <c r="P15" i="6"/>
  <c r="R15" i="6"/>
  <c r="T15" i="6" s="1"/>
  <c r="P14" i="6"/>
  <c r="N14" i="6"/>
  <c r="O14" i="6" s="1"/>
  <c r="S14" i="6"/>
  <c r="Q14" i="6"/>
  <c r="R14" i="6"/>
  <c r="T14" i="6" s="1"/>
  <c r="P13" i="6"/>
  <c r="Q13" i="6"/>
  <c r="R13" i="6"/>
  <c r="T13" i="6" s="1"/>
  <c r="S13" i="6"/>
  <c r="N13" i="6"/>
  <c r="O13" i="6" s="1"/>
  <c r="U13" i="6" s="1"/>
  <c r="V13" i="6" s="1"/>
  <c r="N12" i="6"/>
  <c r="O12" i="6" s="1"/>
  <c r="Q12" i="6"/>
  <c r="R12" i="6"/>
  <c r="S12" i="6"/>
  <c r="P12" i="6"/>
  <c r="C17" i="8"/>
  <c r="M25" i="3"/>
  <c r="N25" i="3"/>
  <c r="N24" i="3"/>
  <c r="M24" i="3"/>
  <c r="M23" i="3"/>
  <c r="N23" i="3"/>
  <c r="M22" i="3"/>
  <c r="M152" i="6"/>
  <c r="M153" i="6"/>
  <c r="M154" i="6"/>
  <c r="M155" i="6"/>
  <c r="N22" i="3"/>
  <c r="N21" i="3"/>
  <c r="M21" i="3"/>
  <c r="M20" i="3"/>
  <c r="N20" i="3"/>
  <c r="M19" i="3"/>
  <c r="N19" i="3"/>
  <c r="M18" i="3"/>
  <c r="N18" i="3"/>
  <c r="M119" i="6"/>
  <c r="M117" i="6"/>
  <c r="M116" i="6"/>
  <c r="M115" i="6"/>
  <c r="M118" i="6"/>
  <c r="M17" i="3"/>
  <c r="N17" i="3"/>
  <c r="M16" i="3"/>
  <c r="N16" i="3"/>
  <c r="N15" i="3"/>
  <c r="M82" i="6"/>
  <c r="M81" i="6"/>
  <c r="M15" i="3"/>
  <c r="M80" i="6"/>
  <c r="M79" i="6"/>
  <c r="M83" i="6"/>
  <c r="M78" i="6"/>
  <c r="N14" i="3"/>
  <c r="M14" i="3"/>
  <c r="N13" i="3"/>
  <c r="M13" i="3"/>
  <c r="M12" i="3"/>
  <c r="N12" i="3"/>
  <c r="M11" i="3"/>
  <c r="N11" i="3"/>
  <c r="M10" i="3"/>
  <c r="N10" i="3"/>
  <c r="M9" i="3"/>
  <c r="N9" i="3"/>
  <c r="M43" i="6"/>
  <c r="M44" i="6"/>
  <c r="M45" i="6"/>
  <c r="M46" i="6"/>
  <c r="M47" i="6"/>
  <c r="M41" i="6"/>
  <c r="M42" i="6"/>
  <c r="M39" i="6"/>
  <c r="M40" i="6"/>
  <c r="M8" i="3"/>
  <c r="N8" i="3"/>
  <c r="N7" i="3"/>
  <c r="M7" i="3"/>
  <c r="M10" i="6"/>
  <c r="N6" i="3"/>
  <c r="M6" i="3"/>
  <c r="M5" i="6"/>
  <c r="M9" i="6"/>
  <c r="M8" i="6"/>
  <c r="M7" i="6"/>
  <c r="M6" i="6"/>
  <c r="M11" i="6"/>
  <c r="N5" i="3"/>
  <c r="M5" i="3"/>
  <c r="U14" i="7"/>
  <c r="U13" i="7"/>
  <c r="U22" i="7"/>
  <c r="U12" i="7"/>
  <c r="U11" i="7"/>
  <c r="U8" i="7"/>
  <c r="U7" i="7"/>
  <c r="U15" i="7"/>
  <c r="U10" i="7"/>
  <c r="U18" i="7"/>
  <c r="U17" i="7"/>
  <c r="U5" i="7" l="1"/>
  <c r="U23" i="7" s="1"/>
  <c r="H23" i="7"/>
  <c r="E18" i="8"/>
  <c r="E12" i="8"/>
  <c r="E13" i="8"/>
  <c r="E14" i="8"/>
  <c r="E15" i="8"/>
  <c r="E16" i="8"/>
  <c r="E17" i="8"/>
  <c r="E20" i="8"/>
  <c r="E19" i="8"/>
  <c r="N152" i="6"/>
  <c r="O152" i="6" s="1"/>
  <c r="P152" i="6"/>
  <c r="Q152" i="6"/>
  <c r="R152" i="6"/>
  <c r="T152" i="6" s="1"/>
  <c r="S152" i="6"/>
  <c r="N153" i="6"/>
  <c r="O153" i="6" s="1"/>
  <c r="P153" i="6"/>
  <c r="Q153" i="6"/>
  <c r="R153" i="6"/>
  <c r="T153" i="6" s="1"/>
  <c r="S153" i="6"/>
  <c r="N154" i="6"/>
  <c r="O154" i="6" s="1"/>
  <c r="P154" i="6"/>
  <c r="Q154" i="6"/>
  <c r="R154" i="6"/>
  <c r="T154" i="6" s="1"/>
  <c r="S154" i="6"/>
  <c r="N155" i="6"/>
  <c r="O155" i="6" s="1"/>
  <c r="P155" i="6"/>
  <c r="Q155" i="6"/>
  <c r="R155" i="6"/>
  <c r="T155" i="6" s="1"/>
  <c r="S155" i="6"/>
  <c r="N119" i="6"/>
  <c r="O119" i="6" s="1"/>
  <c r="P119" i="6"/>
  <c r="Q119" i="6"/>
  <c r="R119" i="6"/>
  <c r="T119" i="6" s="1"/>
  <c r="S119" i="6"/>
  <c r="N117" i="6"/>
  <c r="O117" i="6" s="1"/>
  <c r="P117" i="6"/>
  <c r="Q117" i="6"/>
  <c r="R117" i="6"/>
  <c r="T117" i="6" s="1"/>
  <c r="S117" i="6"/>
  <c r="N116" i="6"/>
  <c r="O116" i="6" s="1"/>
  <c r="P116" i="6"/>
  <c r="Q116" i="6"/>
  <c r="R116" i="6"/>
  <c r="T116" i="6" s="1"/>
  <c r="S116" i="6"/>
  <c r="N115" i="6"/>
  <c r="O115" i="6" s="1"/>
  <c r="P115" i="6"/>
  <c r="Q115" i="6"/>
  <c r="R115" i="6"/>
  <c r="S115" i="6"/>
  <c r="N118" i="6"/>
  <c r="O118" i="6" s="1"/>
  <c r="P118" i="6"/>
  <c r="Q118" i="6"/>
  <c r="R118" i="6"/>
  <c r="T118" i="6" s="1"/>
  <c r="S118" i="6"/>
  <c r="N82" i="6"/>
  <c r="O82" i="6" s="1"/>
  <c r="P82" i="6"/>
  <c r="Q82" i="6"/>
  <c r="R82" i="6"/>
  <c r="T82" i="6" s="1"/>
  <c r="S82" i="6"/>
  <c r="N81" i="6"/>
  <c r="O81" i="6" s="1"/>
  <c r="P81" i="6"/>
  <c r="Q81" i="6"/>
  <c r="R81" i="6"/>
  <c r="T81" i="6" s="1"/>
  <c r="S81" i="6"/>
  <c r="N80" i="6"/>
  <c r="O80" i="6" s="1"/>
  <c r="P80" i="6"/>
  <c r="Q80" i="6"/>
  <c r="R80" i="6"/>
  <c r="T80" i="6" s="1"/>
  <c r="S80" i="6"/>
  <c r="N79" i="6"/>
  <c r="O79" i="6" s="1"/>
  <c r="P79" i="6"/>
  <c r="Q79" i="6"/>
  <c r="R79" i="6"/>
  <c r="T79" i="6" s="1"/>
  <c r="S79" i="6"/>
  <c r="N83" i="6"/>
  <c r="O83" i="6" s="1"/>
  <c r="P83" i="6"/>
  <c r="Q83" i="6"/>
  <c r="R83" i="6"/>
  <c r="T83" i="6" s="1"/>
  <c r="S83" i="6"/>
  <c r="N78" i="6"/>
  <c r="O78" i="6" s="1"/>
  <c r="P78" i="6"/>
  <c r="Q78" i="6"/>
  <c r="R78" i="6"/>
  <c r="T78" i="6" s="1"/>
  <c r="S78" i="6"/>
  <c r="N43" i="6"/>
  <c r="O43" i="6" s="1"/>
  <c r="P43" i="6"/>
  <c r="Q43" i="6"/>
  <c r="R43" i="6"/>
  <c r="T43" i="6" s="1"/>
  <c r="S43" i="6"/>
  <c r="N44" i="6"/>
  <c r="O44" i="6" s="1"/>
  <c r="P44" i="6"/>
  <c r="Q44" i="6"/>
  <c r="R44" i="6"/>
  <c r="T44" i="6" s="1"/>
  <c r="S44" i="6"/>
  <c r="N45" i="6"/>
  <c r="O45" i="6" s="1"/>
  <c r="P45" i="6"/>
  <c r="Q45" i="6"/>
  <c r="R45" i="6"/>
  <c r="T45" i="6" s="1"/>
  <c r="S45" i="6"/>
  <c r="N46" i="6"/>
  <c r="O46" i="6" s="1"/>
  <c r="P46" i="6"/>
  <c r="Q46" i="6"/>
  <c r="R46" i="6"/>
  <c r="T46" i="6" s="1"/>
  <c r="S46" i="6"/>
  <c r="N47" i="6"/>
  <c r="O47" i="6" s="1"/>
  <c r="P47" i="6"/>
  <c r="Q47" i="6"/>
  <c r="R47" i="6"/>
  <c r="T47" i="6" s="1"/>
  <c r="S47" i="6"/>
  <c r="N41" i="6"/>
  <c r="O41" i="6" s="1"/>
  <c r="P41" i="6"/>
  <c r="Q41" i="6"/>
  <c r="R41" i="6"/>
  <c r="T41" i="6" s="1"/>
  <c r="S41" i="6"/>
  <c r="N42" i="6"/>
  <c r="O42" i="6" s="1"/>
  <c r="P42" i="6"/>
  <c r="Q42" i="6"/>
  <c r="R42" i="6"/>
  <c r="T42" i="6" s="1"/>
  <c r="S42" i="6"/>
  <c r="N39" i="6"/>
  <c r="O39" i="6" s="1"/>
  <c r="P39" i="6"/>
  <c r="Q39" i="6"/>
  <c r="R39" i="6"/>
  <c r="T39" i="6" s="1"/>
  <c r="S39" i="6"/>
  <c r="N40" i="6"/>
  <c r="O40" i="6" s="1"/>
  <c r="P40" i="6"/>
  <c r="Q40" i="6"/>
  <c r="R40" i="6"/>
  <c r="T40" i="6" s="1"/>
  <c r="S40" i="6"/>
  <c r="N10" i="6"/>
  <c r="O10" i="6" s="1"/>
  <c r="P10" i="6"/>
  <c r="Q10" i="6"/>
  <c r="R10" i="6"/>
  <c r="T10" i="6" s="1"/>
  <c r="S10" i="6"/>
  <c r="N5" i="6"/>
  <c r="O5" i="6" s="1"/>
  <c r="P5" i="6"/>
  <c r="Q5" i="6"/>
  <c r="R5" i="6"/>
  <c r="T5" i="6" s="1"/>
  <c r="S5" i="6"/>
  <c r="N9" i="6"/>
  <c r="O9" i="6" s="1"/>
  <c r="P9" i="6"/>
  <c r="Q9" i="6"/>
  <c r="R9" i="6"/>
  <c r="T9" i="6" s="1"/>
  <c r="S9" i="6"/>
  <c r="N8" i="6"/>
  <c r="O8" i="6" s="1"/>
  <c r="P8" i="6"/>
  <c r="Q8" i="6"/>
  <c r="R8" i="6"/>
  <c r="T8" i="6" s="1"/>
  <c r="S8" i="6"/>
  <c r="N7" i="6"/>
  <c r="O7" i="6" s="1"/>
  <c r="P7" i="6"/>
  <c r="Q7" i="6"/>
  <c r="R7" i="6"/>
  <c r="S7" i="6"/>
  <c r="N6" i="6"/>
  <c r="O6" i="6" s="1"/>
  <c r="P6" i="6"/>
  <c r="Q6" i="6"/>
  <c r="R6" i="6"/>
  <c r="T6" i="6" s="1"/>
  <c r="S6" i="6"/>
  <c r="N11" i="6"/>
  <c r="O11" i="6" s="1"/>
  <c r="P11" i="6"/>
  <c r="Q11" i="6"/>
  <c r="R11" i="6"/>
  <c r="T11" i="6" s="1"/>
  <c r="S11" i="6"/>
  <c r="U185" i="6"/>
  <c r="V185" i="6" s="1"/>
  <c r="U184" i="6"/>
  <c r="V184" i="6" s="1"/>
  <c r="U178" i="6"/>
  <c r="V178" i="6" s="1"/>
  <c r="U170" i="6"/>
  <c r="V170" i="6" s="1"/>
  <c r="T162" i="6"/>
  <c r="U162" i="6" s="1"/>
  <c r="V162" i="6" s="1"/>
  <c r="E28" i="9"/>
  <c r="T151" i="6"/>
  <c r="U151" i="6" s="1"/>
  <c r="V151" i="6" s="1"/>
  <c r="T150" i="6"/>
  <c r="U150" i="6" s="1"/>
  <c r="V150" i="6" s="1"/>
  <c r="U149" i="6"/>
  <c r="V149" i="6" s="1"/>
  <c r="U148" i="6"/>
  <c r="V148" i="6" s="1"/>
  <c r="T147" i="6"/>
  <c r="U147" i="6" s="1"/>
  <c r="V147" i="6" s="1"/>
  <c r="T146" i="6"/>
  <c r="U146" i="6" s="1"/>
  <c r="V146" i="6" s="1"/>
  <c r="T145" i="6"/>
  <c r="U145" i="6" s="1"/>
  <c r="V145" i="6" s="1"/>
  <c r="T144" i="6"/>
  <c r="U144" i="6" s="1"/>
  <c r="V144" i="6" s="1"/>
  <c r="T143" i="6"/>
  <c r="U143" i="6" s="1"/>
  <c r="V143" i="6" s="1"/>
  <c r="T142" i="6"/>
  <c r="U142" i="6" s="1"/>
  <c r="V142" i="6" s="1"/>
  <c r="T141" i="6"/>
  <c r="U141" i="6" s="1"/>
  <c r="V141" i="6" s="1"/>
  <c r="T140" i="6"/>
  <c r="U140" i="6" s="1"/>
  <c r="V140" i="6" s="1"/>
  <c r="T139" i="6"/>
  <c r="U139" i="6" s="1"/>
  <c r="V139" i="6" s="1"/>
  <c r="T138" i="6"/>
  <c r="U138" i="6" s="1"/>
  <c r="V138" i="6" s="1"/>
  <c r="U137" i="6"/>
  <c r="V137" i="6" s="1"/>
  <c r="U136" i="6"/>
  <c r="V136" i="6" s="1"/>
  <c r="T135" i="6"/>
  <c r="U135" i="6" s="1"/>
  <c r="V135" i="6" s="1"/>
  <c r="T134" i="6"/>
  <c r="U134" i="6" s="1"/>
  <c r="V134" i="6" s="1"/>
  <c r="T133" i="6"/>
  <c r="U133" i="6" s="1"/>
  <c r="V133" i="6" s="1"/>
  <c r="U132" i="6"/>
  <c r="V132" i="6" s="1"/>
  <c r="T111" i="6"/>
  <c r="U111" i="6" s="1"/>
  <c r="V111" i="6" s="1"/>
  <c r="T107" i="6"/>
  <c r="U107" i="6" s="1"/>
  <c r="V107" i="6" s="1"/>
  <c r="U104" i="6"/>
  <c r="V104" i="6" s="1"/>
  <c r="U100" i="6"/>
  <c r="V100" i="6" s="1"/>
  <c r="T99" i="6"/>
  <c r="U99" i="6" s="1"/>
  <c r="V99" i="6" s="1"/>
  <c r="U98" i="6"/>
  <c r="V98" i="6" s="1"/>
  <c r="T96" i="6"/>
  <c r="U96" i="6" s="1"/>
  <c r="V96" i="6" s="1"/>
  <c r="U95" i="6"/>
  <c r="V95" i="6" s="1"/>
  <c r="U94" i="6"/>
  <c r="V94" i="6" s="1"/>
  <c r="T89" i="6"/>
  <c r="U89" i="6" s="1"/>
  <c r="V89" i="6" s="1"/>
  <c r="T131" i="6"/>
  <c r="U131" i="6" s="1"/>
  <c r="V131" i="6" s="1"/>
  <c r="T130" i="6"/>
  <c r="U130" i="6" s="1"/>
  <c r="V130" i="6" s="1"/>
  <c r="T129" i="6"/>
  <c r="U129" i="6" s="1"/>
  <c r="V129" i="6" s="1"/>
  <c r="T128" i="6"/>
  <c r="U128" i="6" s="1"/>
  <c r="V128" i="6" s="1"/>
  <c r="U127" i="6"/>
  <c r="V127" i="6" s="1"/>
  <c r="T126" i="6"/>
  <c r="U126" i="6" s="1"/>
  <c r="V126" i="6" s="1"/>
  <c r="T125" i="6"/>
  <c r="U125" i="6" s="1"/>
  <c r="V125" i="6" s="1"/>
  <c r="T124" i="6"/>
  <c r="U124" i="6" s="1"/>
  <c r="V124" i="6" s="1"/>
  <c r="T123" i="6"/>
  <c r="U123" i="6" s="1"/>
  <c r="V123" i="6" s="1"/>
  <c r="U122" i="6"/>
  <c r="V122" i="6" s="1"/>
  <c r="U121" i="6"/>
  <c r="V121" i="6" s="1"/>
  <c r="T120" i="6"/>
  <c r="U120" i="6" s="1"/>
  <c r="V120" i="6" s="1"/>
  <c r="U114" i="6"/>
  <c r="V114" i="6" s="1"/>
  <c r="T112" i="6"/>
  <c r="U112" i="6" s="1"/>
  <c r="V112" i="6" s="1"/>
  <c r="T110" i="6"/>
  <c r="U110" i="6" s="1"/>
  <c r="V110" i="6" s="1"/>
  <c r="U109" i="6"/>
  <c r="V109" i="6" s="1"/>
  <c r="T108" i="6"/>
  <c r="U108" i="6" s="1"/>
  <c r="V108" i="6" s="1"/>
  <c r="T106" i="6"/>
  <c r="U106" i="6" s="1"/>
  <c r="V106" i="6" s="1"/>
  <c r="T105" i="6"/>
  <c r="U105" i="6" s="1"/>
  <c r="V105" i="6" s="1"/>
  <c r="T103" i="6"/>
  <c r="U103" i="6" s="1"/>
  <c r="V103" i="6" s="1"/>
  <c r="U101" i="6"/>
  <c r="V101" i="6" s="1"/>
  <c r="T97" i="6"/>
  <c r="U97" i="6" s="1"/>
  <c r="V97" i="6" s="1"/>
  <c r="T93" i="6"/>
  <c r="U93" i="6" s="1"/>
  <c r="V93" i="6" s="1"/>
  <c r="U92" i="6"/>
  <c r="V92" i="6" s="1"/>
  <c r="T90" i="6"/>
  <c r="U90" i="6" s="1"/>
  <c r="V90" i="6" s="1"/>
  <c r="U88" i="6"/>
  <c r="V88" i="6" s="1"/>
  <c r="T86" i="6"/>
  <c r="U86" i="6" s="1"/>
  <c r="V86" i="6" s="1"/>
  <c r="U85" i="6"/>
  <c r="V85" i="6" s="1"/>
  <c r="T84" i="6"/>
  <c r="U84" i="6" s="1"/>
  <c r="V84" i="6" s="1"/>
  <c r="T77" i="6"/>
  <c r="U77" i="6" s="1"/>
  <c r="V77" i="6" s="1"/>
  <c r="T76" i="6"/>
  <c r="U76" i="6" s="1"/>
  <c r="V76" i="6" s="1"/>
  <c r="T75" i="6"/>
  <c r="U75" i="6" s="1"/>
  <c r="V75" i="6" s="1"/>
  <c r="T74" i="6"/>
  <c r="U74" i="6" s="1"/>
  <c r="V74" i="6" s="1"/>
  <c r="U73" i="6"/>
  <c r="V73" i="6" s="1"/>
  <c r="U72" i="6"/>
  <c r="V72" i="6" s="1"/>
  <c r="U71" i="6"/>
  <c r="V71" i="6" s="1"/>
  <c r="U70" i="6"/>
  <c r="V70" i="6" s="1"/>
  <c r="T69" i="6"/>
  <c r="U69" i="6" s="1"/>
  <c r="V69" i="6" s="1"/>
  <c r="T68" i="6"/>
  <c r="U68" i="6" s="1"/>
  <c r="V68" i="6" s="1"/>
  <c r="U67" i="6"/>
  <c r="V67" i="6" s="1"/>
  <c r="T66" i="6"/>
  <c r="U66" i="6" s="1"/>
  <c r="V66" i="6" s="1"/>
  <c r="T65" i="6"/>
  <c r="U65" i="6" s="1"/>
  <c r="V65" i="6" s="1"/>
  <c r="T64" i="6"/>
  <c r="U64" i="6" s="1"/>
  <c r="V64" i="6" s="1"/>
  <c r="T63" i="6"/>
  <c r="U63" i="6" s="1"/>
  <c r="V63" i="6" s="1"/>
  <c r="U62" i="6"/>
  <c r="V62" i="6" s="1"/>
  <c r="T61" i="6"/>
  <c r="U61" i="6" s="1"/>
  <c r="V61" i="6" s="1"/>
  <c r="T60" i="6"/>
  <c r="U60" i="6" s="1"/>
  <c r="V60" i="6" s="1"/>
  <c r="U59" i="6"/>
  <c r="V59" i="6" s="1"/>
  <c r="U57" i="6"/>
  <c r="V57" i="6" s="1"/>
  <c r="T56" i="6"/>
  <c r="U56" i="6" s="1"/>
  <c r="V56" i="6" s="1"/>
  <c r="T55" i="6"/>
  <c r="U55" i="6" s="1"/>
  <c r="V55" i="6" s="1"/>
  <c r="T54" i="6"/>
  <c r="U54" i="6" s="1"/>
  <c r="V54" i="6" s="1"/>
  <c r="U53" i="6"/>
  <c r="V53" i="6" s="1"/>
  <c r="U52" i="6"/>
  <c r="V52" i="6" s="1"/>
  <c r="T51" i="6"/>
  <c r="U51" i="6" s="1"/>
  <c r="V51" i="6" s="1"/>
  <c r="T49" i="6"/>
  <c r="U49" i="6" s="1"/>
  <c r="V49" i="6" s="1"/>
  <c r="T48" i="6"/>
  <c r="U48" i="6" s="1"/>
  <c r="V48" i="6" s="1"/>
  <c r="U38" i="6"/>
  <c r="V38" i="6" s="1"/>
  <c r="U37" i="6"/>
  <c r="V37" i="6" s="1"/>
  <c r="T36" i="6"/>
  <c r="U36" i="6" s="1"/>
  <c r="V36" i="6" s="1"/>
  <c r="T35" i="6"/>
  <c r="U35" i="6" s="1"/>
  <c r="V35" i="6" s="1"/>
  <c r="U34" i="6"/>
  <c r="V34" i="6" s="1"/>
  <c r="T33" i="6"/>
  <c r="U33" i="6" s="1"/>
  <c r="V33" i="6" s="1"/>
  <c r="U16" i="6"/>
  <c r="V16" i="6" s="1"/>
  <c r="U15" i="6"/>
  <c r="V15" i="6" s="1"/>
  <c r="U14" i="6"/>
  <c r="V14" i="6" s="1"/>
  <c r="T32" i="6"/>
  <c r="U32" i="6" s="1"/>
  <c r="V32" i="6" s="1"/>
  <c r="T31" i="6"/>
  <c r="U31" i="6" s="1"/>
  <c r="V31" i="6" s="1"/>
  <c r="T29" i="6"/>
  <c r="U29" i="6" s="1"/>
  <c r="V29" i="6" s="1"/>
  <c r="T28" i="6"/>
  <c r="U28" i="6" s="1"/>
  <c r="V28" i="6" s="1"/>
  <c r="U27" i="6"/>
  <c r="V27" i="6" s="1"/>
  <c r="T26" i="6"/>
  <c r="U26" i="6" s="1"/>
  <c r="V26" i="6" s="1"/>
  <c r="T25" i="6"/>
  <c r="U25" i="6" s="1"/>
  <c r="V25" i="6" s="1"/>
  <c r="U23" i="6"/>
  <c r="V23" i="6" s="1"/>
  <c r="U22" i="6"/>
  <c r="V22" i="6" s="1"/>
  <c r="T21" i="6"/>
  <c r="U21" i="6" s="1"/>
  <c r="V21" i="6" s="1"/>
  <c r="U20" i="6"/>
  <c r="V20" i="6" s="1"/>
  <c r="U18" i="6"/>
  <c r="V18" i="6" s="1"/>
  <c r="T17" i="6"/>
  <c r="U17" i="6" s="1"/>
  <c r="V17" i="6" s="1"/>
  <c r="U156" i="6"/>
  <c r="V156" i="6" s="1"/>
  <c r="T12" i="6"/>
  <c r="U12" i="6" s="1"/>
  <c r="V12" i="6" s="1"/>
  <c r="U179" i="6"/>
  <c r="V179" i="6" s="1"/>
  <c r="U175" i="6"/>
  <c r="V175" i="6" s="1"/>
  <c r="U172" i="6"/>
  <c r="V172" i="6" s="1"/>
  <c r="U164" i="6"/>
  <c r="V164" i="6" s="1"/>
  <c r="U159" i="6"/>
  <c r="V159" i="6" s="1"/>
  <c r="T171" i="6"/>
  <c r="U171" i="6" s="1"/>
  <c r="V171" i="6" s="1"/>
  <c r="U169" i="6"/>
  <c r="V169" i="6" s="1"/>
  <c r="U160" i="6"/>
  <c r="V160" i="6" s="1"/>
  <c r="U158" i="6"/>
  <c r="V158" i="6" s="1"/>
  <c r="U183" i="6"/>
  <c r="V183" i="6" s="1"/>
  <c r="U177" i="6"/>
  <c r="V177" i="6" s="1"/>
  <c r="U174" i="6"/>
  <c r="V174" i="6" s="1"/>
  <c r="T165" i="6"/>
  <c r="U165" i="6" s="1"/>
  <c r="V165" i="6" s="1"/>
  <c r="G28" i="9"/>
  <c r="U182" i="6"/>
  <c r="V182" i="6" s="1"/>
  <c r="U181" i="6"/>
  <c r="V181" i="6" s="1"/>
  <c r="U180" i="6"/>
  <c r="V180" i="6" s="1"/>
  <c r="T166" i="6"/>
  <c r="U166" i="6" s="1"/>
  <c r="V166" i="6" s="1"/>
  <c r="U163" i="6"/>
  <c r="V163" i="6" s="1"/>
  <c r="U157" i="6"/>
  <c r="V157" i="6" s="1"/>
  <c r="C16" i="8"/>
  <c r="C19" i="8"/>
  <c r="C15" i="8"/>
  <c r="C18" i="8"/>
  <c r="C20" i="8"/>
  <c r="C13" i="8"/>
  <c r="C12" i="8"/>
  <c r="U5" i="6" l="1"/>
  <c r="O187" i="6"/>
  <c r="C21" i="8"/>
  <c r="U152" i="6"/>
  <c r="V152" i="6" s="1"/>
  <c r="U153" i="6"/>
  <c r="V153" i="6" s="1"/>
  <c r="U119" i="6"/>
  <c r="V119" i="6" s="1"/>
  <c r="U116" i="6"/>
  <c r="V116" i="6" s="1"/>
  <c r="U79" i="6"/>
  <c r="V79" i="6" s="1"/>
  <c r="U40" i="6"/>
  <c r="V40" i="6" s="1"/>
  <c r="T115" i="6"/>
  <c r="U118" i="6"/>
  <c r="V118" i="6" s="1"/>
  <c r="U82" i="6"/>
  <c r="V82" i="6" s="1"/>
  <c r="U78" i="6"/>
  <c r="V78" i="6" s="1"/>
  <c r="U10" i="6"/>
  <c r="V10" i="6" s="1"/>
  <c r="U45" i="6"/>
  <c r="V45" i="6" s="1"/>
  <c r="U46" i="6"/>
  <c r="V46" i="6" s="1"/>
  <c r="U47" i="6"/>
  <c r="V47" i="6" s="1"/>
  <c r="U41" i="6"/>
  <c r="V41" i="6" s="1"/>
  <c r="U39" i="6"/>
  <c r="V39" i="6" s="1"/>
  <c r="U9" i="6"/>
  <c r="V9" i="6" s="1"/>
  <c r="U8" i="6"/>
  <c r="V8" i="6" s="1"/>
  <c r="U7" i="6"/>
  <c r="V7" i="6" s="1"/>
  <c r="U6" i="6"/>
  <c r="V6" i="6" s="1"/>
  <c r="U11" i="6"/>
  <c r="V11" i="6" s="1"/>
  <c r="U155" i="6"/>
  <c r="V155" i="6" s="1"/>
  <c r="E21" i="8"/>
  <c r="U44" i="6"/>
  <c r="V44" i="6" s="1"/>
  <c r="U80" i="6"/>
  <c r="V80" i="6" s="1"/>
  <c r="U81" i="6"/>
  <c r="V81" i="6" s="1"/>
  <c r="U154" i="6"/>
  <c r="V154" i="6" s="1"/>
  <c r="U117" i="6"/>
  <c r="V117" i="6" s="1"/>
  <c r="U83" i="6"/>
  <c r="V83" i="6" s="1"/>
  <c r="U43" i="6"/>
  <c r="V43" i="6" s="1"/>
  <c r="U42" i="6"/>
  <c r="V42" i="6" s="1"/>
  <c r="V5" i="6" l="1"/>
  <c r="P17" i="9"/>
  <c r="R17" i="9" s="1"/>
  <c r="D16" i="8"/>
  <c r="F16" i="8" s="1"/>
  <c r="H16" i="8" s="1"/>
  <c r="D18" i="8"/>
  <c r="F18" i="8" s="1"/>
  <c r="H18" i="8" s="1"/>
  <c r="Q38" i="9"/>
  <c r="Q41" i="9"/>
  <c r="U41" i="9"/>
  <c r="Q42" i="9"/>
  <c r="U42" i="9"/>
  <c r="P16" i="9"/>
  <c r="R16" i="9" s="1"/>
  <c r="U32" i="9"/>
  <c r="U35" i="9"/>
  <c r="U115" i="6"/>
  <c r="I11" i="9"/>
  <c r="V115" i="6" l="1"/>
  <c r="V187" i="6" s="1"/>
  <c r="P23" i="9"/>
  <c r="R23" i="9" s="1"/>
  <c r="P21" i="9"/>
  <c r="R21" i="9" s="1"/>
  <c r="D31" i="8"/>
  <c r="F31" i="8" s="1"/>
  <c r="H31" i="8" s="1"/>
  <c r="Q44" i="9"/>
  <c r="D20" i="8"/>
  <c r="F20" i="8" s="1"/>
  <c r="H20" i="8" s="1"/>
  <c r="Q40" i="9"/>
  <c r="C26" i="8"/>
  <c r="E26" i="8" s="1"/>
  <c r="L51" i="9"/>
  <c r="Q37" i="9"/>
  <c r="D14" i="8"/>
  <c r="F14" i="8" s="1"/>
  <c r="H14" i="8" s="1"/>
  <c r="P19" i="9"/>
  <c r="R19" i="9" s="1"/>
  <c r="P18" i="9"/>
  <c r="R18" i="9" s="1"/>
  <c r="L54" i="9"/>
  <c r="L53" i="9"/>
  <c r="D19" i="8"/>
  <c r="F19" i="8" s="1"/>
  <c r="H19" i="8" s="1"/>
  <c r="L49" i="9"/>
  <c r="D32" i="8"/>
  <c r="F32" i="8" s="1"/>
  <c r="H32" i="8" s="1"/>
  <c r="Q39" i="9"/>
  <c r="L50" i="9"/>
  <c r="U38" i="9"/>
  <c r="P22" i="9"/>
  <c r="R22" i="9" s="1"/>
  <c r="U27" i="9"/>
  <c r="U30" i="9"/>
  <c r="C27" i="8"/>
  <c r="E27" i="8" s="1"/>
  <c r="U26" i="9"/>
  <c r="U187" i="6"/>
  <c r="D15" i="8"/>
  <c r="F15" i="8" s="1"/>
  <c r="H15" i="8" s="1"/>
  <c r="P24" i="9"/>
  <c r="R24" i="9" s="1"/>
  <c r="U28" i="9"/>
  <c r="U31" i="9"/>
  <c r="C11" i="9"/>
  <c r="Q36" i="9"/>
  <c r="Q34" i="9"/>
  <c r="U40" i="9"/>
  <c r="U34" i="9"/>
  <c r="P20" i="9"/>
  <c r="R20" i="9" s="1"/>
  <c r="Q43" i="9"/>
  <c r="O7" i="9"/>
  <c r="U36" i="9"/>
  <c r="U29" i="9"/>
  <c r="Q35" i="9"/>
  <c r="U33" i="9"/>
  <c r="Q33" i="9"/>
  <c r="D13" i="8"/>
  <c r="F13" i="8" s="1"/>
  <c r="H13" i="8" s="1"/>
  <c r="U43" i="9"/>
  <c r="L52" i="9"/>
  <c r="U37" i="9"/>
  <c r="C25" i="8"/>
  <c r="E25" i="8" s="1"/>
  <c r="U39" i="9"/>
  <c r="D12" i="8"/>
  <c r="D33" i="8"/>
  <c r="F33" i="8" s="1"/>
  <c r="H33" i="8" s="1"/>
  <c r="D17" i="8"/>
  <c r="F17" i="8" s="1"/>
  <c r="H17" i="8" s="1"/>
  <c r="P25" i="9"/>
  <c r="D21" i="8" l="1"/>
  <c r="F12" i="8"/>
  <c r="O11" i="9"/>
  <c r="F21" i="8" l="1"/>
  <c r="H1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<sst xmlns="http://schemas.openxmlformats.org/spreadsheetml/2006/main" count="1132" uniqueCount="335">
  <si>
    <t>VELTORA INC.  ·  SALES COMPENSATION MODEL  ·  FY 2025</t>
  </si>
  <si>
    <t>Confidential — RevOps Team  |  Austin, TX  |  Series B</t>
  </si>
  <si>
    <t xml:space="preserve">  COMPANY OVERVIEW</t>
  </si>
  <si>
    <t>Company Name</t>
  </si>
  <si>
    <t>Veltora Inc.</t>
  </si>
  <si>
    <t>Product</t>
  </si>
  <si>
    <t>Revenue Operations SaaS Platform</t>
  </si>
  <si>
    <t>HQ</t>
  </si>
  <si>
    <t>Austin, TX</t>
  </si>
  <si>
    <t>Stage</t>
  </si>
  <si>
    <t>Series B — Growth</t>
  </si>
  <si>
    <t>Funding Round Closed</t>
  </si>
  <si>
    <t>January 2025</t>
  </si>
  <si>
    <t>Fiscal Year</t>
  </si>
  <si>
    <t>2025</t>
  </si>
  <si>
    <t xml:space="preserve">  2025 ARR TARGETS</t>
  </si>
  <si>
    <t>ARR — Entering 2025 ($)</t>
  </si>
  <si>
    <t>ARR — Year-End Target ($)</t>
  </si>
  <si>
    <t>Implied YoY Growth (%)</t>
  </si>
  <si>
    <t>New ARR Target ($)</t>
  </si>
  <si>
    <t xml:space="preserve">  2025 HEADCOUNT PLAN</t>
  </si>
  <si>
    <t>Segment</t>
  </si>
  <si>
    <t>Manager</t>
  </si>
  <si>
    <t>SDRs (Orig.)</t>
  </si>
  <si>
    <t>AEs (Orig.)</t>
  </si>
  <si>
    <t>CSMs (Orig.)</t>
  </si>
  <si>
    <t>SDR Repl.</t>
  </si>
  <si>
    <t>AE Repl.</t>
  </si>
  <si>
    <t>CSM Repl.</t>
  </si>
  <si>
    <t>Peak HC</t>
  </si>
  <si>
    <t>Notes</t>
  </si>
  <si>
    <t>Enterprise</t>
  </si>
  <si>
    <t>Sarah Chen</t>
  </si>
  <si>
    <t>Ent CSM replaced Q4</t>
  </si>
  <si>
    <t>Mid-Market</t>
  </si>
  <si>
    <t>Tyler Rodriguez</t>
  </si>
  <si>
    <t>MM SDR replaced Q3</t>
  </si>
  <si>
    <t>SMB</t>
  </si>
  <si>
    <t>Carlos Mendez</t>
  </si>
  <si>
    <t>SMB AE replaced Q3</t>
  </si>
  <si>
    <t>TOTAL</t>
  </si>
  <si>
    <t>3 Managers</t>
  </si>
  <si>
    <t xml:space="preserve">  2025 PERFORMANCE CONTEXT &amp; KEY ASSUMPTIONS</t>
  </si>
  <si>
    <t>Performance Trend</t>
  </si>
  <si>
    <t>Strong H1 (Q1 blowout at ~118% org attainment), weak H2 as market softens post-raise</t>
  </si>
  <si>
    <t>Q1 Blowout</t>
  </si>
  <si>
    <t>January push drives outsized deals; several reps trigger accelerators in Q1</t>
  </si>
  <si>
    <t>Acquisition Motion</t>
  </si>
  <si>
    <t>Inbound-led Enterprise (avg ACV $80K-$150K); Outbound-driven SMB (avg ACV $8K-$20K)</t>
  </si>
  <si>
    <t>Rep Churn</t>
  </si>
  <si>
    <t>1 SMB AE (June) · 1 MM SDR (August) · 1 Ent CSM (September) — natural mid-year attrition</t>
  </si>
  <si>
    <t>Replacements</t>
  </si>
  <si>
    <t>All 3 replaced on staggered schedule; ramp = 40% / 70% / 100% over first 3 months</t>
  </si>
  <si>
    <t>August Seasonality</t>
  </si>
  <si>
    <t>August shows -15% to -20% drop across all segments vs. June</t>
  </si>
  <si>
    <t>Accelerator Policy</t>
  </si>
  <si>
    <t>True-up calculated at quarter-end; monthly commissions paid at standard rate</t>
  </si>
  <si>
    <t>Base Salary Tiering</t>
  </si>
  <si>
    <t>Enterprise reps earn higher base; all roles tiered by segment (Ent &gt; MM &gt; SMB)</t>
  </si>
  <si>
    <t>CSM Metric</t>
  </si>
  <si>
    <t>Net Expansion ARR (NRR) — expansion revenue minus churn on existing book</t>
  </si>
  <si>
    <t>SDR Metric</t>
  </si>
  <si>
    <t>Qualified Held Meetings = meetings booked × show rate. Min show rate: Ent 75%, MM 70%, SMB 65%</t>
  </si>
  <si>
    <t>Manager Override</t>
  </si>
  <si>
    <t>2% override on direct reports' total monthly commission; team attainment bonus at 100%</t>
  </si>
  <si>
    <t>Comp Model Purpose</t>
  </si>
  <si>
    <t>Q3 2025 review for CFO — assess payout efficiency ahead of 2026 planning cycle</t>
  </si>
  <si>
    <t>VELTORA INC.  ·  COMPENSATION PLAN CATALOG  ·  FY 2025</t>
  </si>
  <si>
    <t>Source of truth for all comp rates, quotas, and accelerator thresholds</t>
  </si>
  <si>
    <t>Plan Key</t>
  </si>
  <si>
    <t>Role</t>
  </si>
  <si>
    <t>Annual Base ($)</t>
  </si>
  <si>
    <t>Annual OTE ($)</t>
  </si>
  <si>
    <t>Annual Quota</t>
  </si>
  <si>
    <t>Commission Rate</t>
  </si>
  <si>
    <t>Rate Type</t>
  </si>
  <si>
    <t>Accel Tier 1 Threshold</t>
  </si>
  <si>
    <t>Accel Tier 1 Mult</t>
  </si>
  <si>
    <t>Accel Tier 2 Threshold</t>
  </si>
  <si>
    <t>Accel Tier 2 Mult</t>
  </si>
  <si>
    <t>Performance Metric</t>
  </si>
  <si>
    <t>SDR</t>
  </si>
  <si>
    <t>$/held mtg</t>
  </si>
  <si>
    <t>—</t>
  </si>
  <si>
    <t>Held Meetings</t>
  </si>
  <si>
    <t>New hire quota: 40%/70%/100% ramp</t>
  </si>
  <si>
    <t>AE</t>
  </si>
  <si>
    <t>% of ARR</t>
  </si>
  <si>
    <t>ARR Closed</t>
  </si>
  <si>
    <t>Accel applied to full quarter at quarter-end true-up</t>
  </si>
  <si>
    <t>CSM</t>
  </si>
  <si>
    <t>% of Exp</t>
  </si>
  <si>
    <t>Net Exp ARR</t>
  </si>
  <si>
    <t>Quota = net expansion target vs book of business</t>
  </si>
  <si>
    <t>All</t>
  </si>
  <si>
    <t>% of team</t>
  </si>
  <si>
    <t>Team Override</t>
  </si>
  <si>
    <t>Override on direct reports' commissions; bonus at 100% team att</t>
  </si>
  <si>
    <t xml:space="preserve">  QUARTERLY BONUS TIERS (by Plan Key)</t>
  </si>
  <si>
    <t>&lt; 80% Att.</t>
  </si>
  <si>
    <t>80–99% Att.</t>
  </si>
  <si>
    <t>100–119% Att.</t>
  </si>
  <si>
    <t>≥ 120% Att.</t>
  </si>
  <si>
    <t>Per Quarter</t>
  </si>
  <si>
    <t>AE_Enterprise</t>
  </si>
  <si>
    <t>Max bonus shown</t>
  </si>
  <si>
    <t>AE_Mid-Market</t>
  </si>
  <si>
    <t>AE_SMB</t>
  </si>
  <si>
    <t>SDR_Enterprise</t>
  </si>
  <si>
    <t>SDR_Mid-Market</t>
  </si>
  <si>
    <t>SDR_SMB</t>
  </si>
  <si>
    <t>CSM_Enterprise</t>
  </si>
  <si>
    <t>CSM_Mid-Market</t>
  </si>
  <si>
    <t>CSM_SMB</t>
  </si>
  <si>
    <t>Manager_All</t>
  </si>
  <si>
    <t>VELTORA INC.  ·  SALES REP ROSTER  ·  FY 2025</t>
  </si>
  <si>
    <t>All active, churned, and replacement reps  |  18 ICs + 3 Managers = 21 headcount</t>
  </si>
  <si>
    <t>Rep ID</t>
  </si>
  <si>
    <t>Full Name</t>
  </si>
  <si>
    <t>City</t>
  </si>
  <si>
    <t>ST</t>
  </si>
  <si>
    <t>Start Mo.</t>
  </si>
  <si>
    <t>End Mo.</t>
  </si>
  <si>
    <t>Status</t>
  </si>
  <si>
    <t>Hire Type</t>
  </si>
  <si>
    <t>R001</t>
  </si>
  <si>
    <t>Austin</t>
  </si>
  <si>
    <t>TX</t>
  </si>
  <si>
    <t>Active</t>
  </si>
  <si>
    <t>Original</t>
  </si>
  <si>
    <t>R002</t>
  </si>
  <si>
    <t>Marcus Williams</t>
  </si>
  <si>
    <t>New York</t>
  </si>
  <si>
    <t>NY</t>
  </si>
  <si>
    <t>R003</t>
  </si>
  <si>
    <t>James Harrington</t>
  </si>
  <si>
    <t>R004</t>
  </si>
  <si>
    <t>Olivia Brooks</t>
  </si>
  <si>
    <t>San Francisco</t>
  </si>
  <si>
    <t>CA</t>
  </si>
  <si>
    <t>R005</t>
  </si>
  <si>
    <t>David Kim</t>
  </si>
  <si>
    <t>Churned</t>
  </si>
  <si>
    <t>R006</t>
  </si>
  <si>
    <t>Lisa Park</t>
  </si>
  <si>
    <t>Ramping</t>
  </si>
  <si>
    <t>Replacement</t>
  </si>
  <si>
    <t>R007</t>
  </si>
  <si>
    <t>R008</t>
  </si>
  <si>
    <t>Kevin O'Brien</t>
  </si>
  <si>
    <t>R009</t>
  </si>
  <si>
    <t>Aisha Johnson</t>
  </si>
  <si>
    <t>Chicago</t>
  </si>
  <si>
    <t>IL</t>
  </si>
  <si>
    <t>R010</t>
  </si>
  <si>
    <t>Jessica Martinez</t>
  </si>
  <si>
    <t>Houston</t>
  </si>
  <si>
    <t>R011</t>
  </si>
  <si>
    <t>Ryan Thompson</t>
  </si>
  <si>
    <t>R012</t>
  </si>
  <si>
    <t>Samantha Lee</t>
  </si>
  <si>
    <t>R013</t>
  </si>
  <si>
    <t>Daniel Foster</t>
  </si>
  <si>
    <t>R014</t>
  </si>
  <si>
    <t>Rachel Green</t>
  </si>
  <si>
    <t>R015</t>
  </si>
  <si>
    <t>R016</t>
  </si>
  <si>
    <t>Nina Patel</t>
  </si>
  <si>
    <t>R017</t>
  </si>
  <si>
    <t>Derek Washington</t>
  </si>
  <si>
    <t>Denver</t>
  </si>
  <si>
    <t>CO</t>
  </si>
  <si>
    <t>R018</t>
  </si>
  <si>
    <t>Brandon Cole</t>
  </si>
  <si>
    <t>R019</t>
  </si>
  <si>
    <t>Stephanie Kim</t>
  </si>
  <si>
    <t>Dallas</t>
  </si>
  <si>
    <t>R020</t>
  </si>
  <si>
    <t>Amy Chen</t>
  </si>
  <si>
    <t>R021</t>
  </si>
  <si>
    <t>Jennifer Walsh</t>
  </si>
  <si>
    <t>TOTALS</t>
  </si>
  <si>
    <t>21 People (3 Managers + 18 ICs)</t>
  </si>
  <si>
    <t>VELTORA INC.  ·  MONTHLY ACTUALS  ·  FY 2025</t>
  </si>
  <si>
    <t>AEs = ARR Closed ($)  |  CSMs = Net Expansion ARR ($)  |  SDRs = Held Meetings (#)</t>
  </si>
  <si>
    <t>Lookup Key</t>
  </si>
  <si>
    <t>Rep Name</t>
  </si>
  <si>
    <t>Month #</t>
  </si>
  <si>
    <t>Month</t>
  </si>
  <si>
    <t>Monthly Quota</t>
  </si>
  <si>
    <t>Actual Performance</t>
  </si>
  <si>
    <t>Attainment %</t>
  </si>
  <si>
    <t>vs Quota ($)</t>
  </si>
  <si>
    <t>VELTORA INC.  ·  SDR MEETING TRACKER  ·  FY 2025</t>
  </si>
  <si>
    <t>Booked vs. Held meetings, Show Rate quality flags, and per-rep payout  |  Min show rate: Ent 75% · MM 70% · SMB 65%</t>
  </si>
  <si>
    <t>Mtgs Booked</t>
  </si>
  <si>
    <t>Mtgs Held</t>
  </si>
  <si>
    <t>Show Rate %</t>
  </si>
  <si>
    <t>Booked Quota</t>
  </si>
  <si>
    <t>Held Quota</t>
  </si>
  <si>
    <t>Held Attainment %</t>
  </si>
  <si>
    <t>Show Rate Status</t>
  </si>
  <si>
    <t>VELTORA INC.  ·  COMMISSION CALCULATION ENGINE  ·  FY 2025</t>
  </si>
  <si>
    <t>VLOOKUP-driven comp engine  |  IFS accelerator logic  |  Monthly base + variable  |  Managers excluded (see team_rollup)</t>
  </si>
  <si>
    <t>Row</t>
  </si>
  <si>
    <t>Mo #</t>
  </si>
  <si>
    <t>Mo</t>
  </si>
  <si>
    <t>Yr</t>
  </si>
  <si>
    <t>Monthly Base ($)</t>
  </si>
  <si>
    <t>Actual</t>
  </si>
  <si>
    <t>Comm. Rate</t>
  </si>
  <si>
    <t>Std. Commission ($)</t>
  </si>
  <si>
    <t>Accel 1 Threshold</t>
  </si>
  <si>
    <t>Accel 1 Mult</t>
  </si>
  <si>
    <t>Accel 2 Threshold</t>
  </si>
  <si>
    <t>Accel 2 Mult</t>
  </si>
  <si>
    <t>Accel Multiplier (IFS)</t>
  </si>
  <si>
    <t>Total Monthly Variable ($)</t>
  </si>
  <si>
    <t>Total Monthly Cash ($)</t>
  </si>
  <si>
    <t>VELTORA INC.  ·  QUARTERLY BONUS TRACKER  ·  FY 2025</t>
  </si>
  <si>
    <t>SUMPRODUCT aggregations from commission_calc  |  IFS bonus tier logic  |  Quarterly attainment true-ups</t>
  </si>
  <si>
    <t>Q1 Actual</t>
  </si>
  <si>
    <t>Q1 Quota</t>
  </si>
  <si>
    <t>Q1 Att%</t>
  </si>
  <si>
    <t>Q1 Bonus ($)</t>
  </si>
  <si>
    <t>Q2 Actual</t>
  </si>
  <si>
    <t>Q2 Quota</t>
  </si>
  <si>
    <t>Q2 Att%</t>
  </si>
  <si>
    <t>Q2 Bonus ($)</t>
  </si>
  <si>
    <t>Q3 Actual</t>
  </si>
  <si>
    <t>Q3 Quota</t>
  </si>
  <si>
    <t>Q3 Att%</t>
  </si>
  <si>
    <t>Q3 Bonus ($)</t>
  </si>
  <si>
    <t>Q4 Actual</t>
  </si>
  <si>
    <t>Q4 Quota</t>
  </si>
  <si>
    <t>Q4 Att%</t>
  </si>
  <si>
    <t>Q4 Bonus ($)</t>
  </si>
  <si>
    <t>Annual Bonus ($)</t>
  </si>
  <si>
    <t>-</t>
  </si>
  <si>
    <t>VELTORA INC.  ·  TEAM &amp; SEGMENT ROLLUP  ·  FY 2025</t>
  </si>
  <si>
    <t>SUMPRODUCT aggregations by segment and role  |  Manager overrides  |  Budget vs. actual comp cost</t>
  </si>
  <si>
    <t xml:space="preserve">  ANNUAL PERFORMANCE SUMMARY BY SEGMENT (AEs only — ARR Closed)</t>
  </si>
  <si>
    <t>Annual Quota ($)</t>
  </si>
  <si>
    <t>Annual Actual ($)</t>
  </si>
  <si>
    <t>Org Attainment %</t>
  </si>
  <si>
    <t># Reps</t>
  </si>
  <si>
    <t>Avg Attainment %</t>
  </si>
  <si>
    <t>Top Rep Attainment</t>
  </si>
  <si>
    <t>Accel Events</t>
  </si>
  <si>
    <t>Budget Variance Note</t>
  </si>
  <si>
    <t xml:space="preserve">  ANNUAL COMP COST BY ROLE &amp; SEGMENT (SUMPRODUCT)</t>
  </si>
  <si>
    <t>Total Base Cost ($)</t>
  </si>
  <si>
    <t>Total Variable Paid ($)</t>
  </si>
  <si>
    <t>Total Bonus ($)</t>
  </si>
  <si>
    <t>Total Comp Cost ($)</t>
  </si>
  <si>
    <t>Headcount</t>
  </si>
  <si>
    <t>Cost per Rep ($)</t>
  </si>
  <si>
    <t>TOTAL COMP COST</t>
  </si>
  <si>
    <t xml:space="preserve">  MANAGER OVERRIDE CALCULATION (2% of Direct Reports' Monthly Commission)</t>
  </si>
  <si>
    <t>Direct Reports' Total Variable ($)</t>
  </si>
  <si>
    <t>Override Rate</t>
  </si>
  <si>
    <t>Override Earned ($)</t>
  </si>
  <si>
    <t>Override on direct reports' accelerated commission</t>
  </si>
  <si>
    <t xml:space="preserve">  MANAGER TOTAL COMPENSATION SUMMARY (FY 2025)</t>
  </si>
  <si>
    <t>Est. Q Bonuses ($)</t>
  </si>
  <si>
    <t>Total FY Comp ($)</t>
  </si>
  <si>
    <t>OTE ($)</t>
  </si>
  <si>
    <t>vs. OTE ($)</t>
  </si>
  <si>
    <t>VELTORA INC.</t>
  </si>
  <si>
    <t>SALES COMPENSATION EXECUTIVE DASHBOARD  ·  FY 2025</t>
  </si>
  <si>
    <t>Prepared for: Rachel Torres, VP Sales</t>
  </si>
  <si>
    <t>RevOps Team  ·  Austin, TX  ·  Series B</t>
  </si>
  <si>
    <t>CFO Review: Q1 2026 Planning Cycle</t>
  </si>
  <si>
    <t>TOTAL ARR CLOSED</t>
  </si>
  <si>
    <t>ORG ATTAINMENT</t>
  </si>
  <si>
    <t>FY 2025 · All AEs</t>
  </si>
  <si>
    <t>AE blended · vs quota</t>
  </si>
  <si>
    <t>Base + Variable · All roles</t>
  </si>
  <si>
    <t>COMP AS % OF ARR</t>
  </si>
  <si>
    <t>ACCELERATOR EVENTS</t>
  </si>
  <si>
    <t>TOP 20% CONCENTRATION</t>
  </si>
  <si>
    <t>Cost efficiency ratio</t>
  </si>
  <si>
    <t>Months where accel fired</t>
  </si>
  <si>
    <t>Top 4 reps share of variable</t>
  </si>
  <si>
    <t xml:space="preserve">  MONTHLY ARR CLOSED BY SEGMENT</t>
  </si>
  <si>
    <t xml:space="preserve">  SEGMENT COMP COST BREAKDOWN</t>
  </si>
  <si>
    <t>Total AE ARR</t>
  </si>
  <si>
    <t>Variable ($)</t>
  </si>
  <si>
    <t>%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</si>
  <si>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</si>
  <si>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</si>
  <si>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</si>
  <si>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</si>
  <si>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</si>
  <si>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</si>
  <si>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</si>
  <si>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</si>
  <si>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</si>
  <si>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</si>
  <si>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VARIABLE COMP</t>
  </si>
  <si>
    <t>100.0%</t>
  </si>
  <si>
    <t>Nov</t>
  </si>
  <si>
    <t>Dec</t>
  </si>
  <si>
    <t xml:space="preserve">  FULL-YEAR ATTAINMENT · AEs &amp; CSMs</t>
  </si>
  <si>
    <t>Annual Actual</t>
  </si>
  <si>
    <t>Ann Att%</t>
  </si>
  <si>
    <t>Annual Variable</t>
  </si>
  <si>
    <t>On track</t>
  </si>
  <si>
    <t>Top performer</t>
  </si>
  <si>
    <t>Churned Q3</t>
  </si>
  <si>
    <t>Ramping Q4</t>
  </si>
  <si>
    <t>Churned Q2</t>
  </si>
  <si>
    <t>Ramping H2</t>
  </si>
  <si>
    <t xml:space="preserve">  SDR PERFORMANCE SUMMARY · HELD MEETINGS &amp; VARIABLE COMP</t>
  </si>
  <si>
    <t>SDR Name</t>
  </si>
  <si>
    <t>Annual Held</t>
  </si>
  <si>
    <t>Ann Quota</t>
  </si>
  <si>
    <t>Att%</t>
  </si>
  <si>
    <t>Avg Show Rate</t>
  </si>
  <si>
    <t>Accel?</t>
  </si>
  <si>
    <t>No</t>
  </si>
  <si>
    <t>Strong show rate, consistent performer</t>
  </si>
  <si>
    <t>Churned August — partial year credit</t>
  </si>
  <si>
    <t>Slightly below annual quota, reliable</t>
  </si>
  <si>
    <t>Joined July — 6 active months, on ramp</t>
  </si>
  <si>
    <t>High volume, hit min show rate all year</t>
  </si>
  <si>
    <t>Slightly below quota, show rate borderline</t>
  </si>
  <si>
    <t xml:space="preserve">  ANALYST INSIGHTS  ·  FY 2025 KEY FINDINGS</t>
  </si>
  <si>
    <t>Q1 BLOWOUT</t>
  </si>
  <si>
    <t>H2 SLOWDOWN</t>
  </si>
  <si>
    <t>COMP EFFICIENCY</t>
  </si>
  <si>
    <t>Org hit ~118% attainment in Q1. Multiple AEs triggered Tier 1 and Tier 2 accelerators. Olivia Brooks (Ent AE) led with 120%+ every quarter.</t>
  </si>
  <si>
    <t>August showed -15 to -20% drop across all segments. Q3+Q4 below quota driven by market softening and rep churn (3 departures mid-year).</t>
  </si>
  <si>
    <t>Top 20% concentration formula: SUMPRODUCT(LARGE(range,{1,2,3,4}))/SUM(range). High concentration signals quota calibration review for 2026 plan.</t>
  </si>
  <si>
    <t>Veltora Inc. · Revenue Operations · FY 2025 Sales Compensation Model · All figures derived from commission_calc, rep_roster, and plan_catalog sheets · Confidential — For Internal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</si>
</sst>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0\x"/>
    <numFmt numFmtId="167" formatCode="\$#,##0;&quot;($&quot;#,##0\);\-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6C757D"/>
      <name val="Calibri"/>
      <charset val="1"/>
    </font>
    <font>
      <sz val="10"/>
      <color rgb="FF0070C0"/>
      <name val="Calibri"/>
      <charset val="1"/>
    </font>
    <font>
      <sz val="10"/>
      <color rgb="FF00B050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1B2A4A"/>
      <name val="Calibri"/>
      <charset val="1"/>
    </font>
    <font>
      <b/>
      <sz val="10"/>
      <color rgb="FF00B050"/>
      <name val="Calibri"/>
      <charset val="1"/>
    </font>
    <font>
      <sz val="10"/>
      <color rgb="FF6C757D"/>
      <name val="Calibri"/>
      <charset val="1"/>
    </font>
    <font>
      <b/>
      <sz val="10"/>
      <color rgb="FF0070C0"/>
      <name val="Calibri"/>
      <charset val="1"/>
    </font>
    <font>
      <i/>
      <sz val="10"/>
      <color rgb="FF6C757D"/>
      <name val="Calibri"/>
      <charset val="1"/>
    </font>
    <font>
      <b/>
      <sz val="24"/>
      <color rgb="FFFFFFFF"/>
      <name val="Calibri"/>
      <charset val="1"/>
    </font>
    <font>
      <b/>
      <sz val="13"/>
      <color rgb="FFFFFFFF"/>
      <name val="Calibri"/>
      <charset val="1"/>
    </font>
    <font>
      <i/>
      <sz val="9"/>
      <color rgb="FF7F8C8D"/>
      <name val="Calibri"/>
      <charset val="1"/>
    </font>
    <font>
      <b/>
      <sz val="9"/>
      <color rgb="FFFFFFFF"/>
      <name val="Calibri"/>
      <charset val="1"/>
    </font>
    <font>
      <b/>
      <sz val="22"/>
      <color rgb="FF148F77"/>
      <name val="Calibri"/>
      <charset val="1"/>
    </font>
    <font>
      <b/>
      <sz val="22"/>
      <color rgb="FF2E86DE"/>
      <name val="Calibri"/>
      <charset val="1"/>
    </font>
    <font>
      <b/>
      <sz val="22"/>
      <color rgb="FF1B2A4A"/>
      <name val="Calibri"/>
      <charset val="1"/>
    </font>
    <font>
      <i/>
      <sz val="8"/>
      <color rgb="FF7F8C8D"/>
      <name val="Calibri"/>
      <charset val="1"/>
    </font>
    <font>
      <b/>
      <sz val="22"/>
      <color rgb="FFE67E22"/>
      <name val="Calibri"/>
      <charset val="1"/>
    </font>
    <font>
      <b/>
      <sz val="22"/>
      <color rgb="FF6C3483"/>
      <name val="Calibri"/>
      <charset val="1"/>
    </font>
    <font>
      <b/>
      <sz val="22"/>
      <color rgb="FFC0392B"/>
      <name val="Calibri"/>
      <charset val="1"/>
    </font>
    <font>
      <sz val="8"/>
      <color rgb="FFEEEEEE"/>
      <name val="Calibri"/>
      <charset val="1"/>
    </font>
    <font>
      <b/>
      <sz val="10"/>
      <color rgb="FF2E86DE"/>
      <name val="Calibri"/>
      <charset val="1"/>
    </font>
    <font>
      <b/>
      <sz val="10"/>
      <color rgb="FF148F77"/>
      <name val="Calibri"/>
      <charset val="1"/>
    </font>
    <font>
      <sz val="8"/>
      <color rgb="FFDDDDDD"/>
      <name val="Calibri"/>
      <charset val="1"/>
    </font>
    <font>
      <b/>
      <sz val="9"/>
      <color rgb="FF000000"/>
      <name val="Calibri"/>
      <charset val="1"/>
    </font>
    <font>
      <b/>
      <sz val="9"/>
      <color rgb="FF7F8C8D"/>
      <name val="Calibri"/>
      <charset val="1"/>
    </font>
    <font>
      <sz val="9"/>
      <color rgb="FF000000"/>
      <name val="Calibri"/>
      <charset val="1"/>
    </font>
    <font>
      <i/>
      <sz val="8"/>
      <color rgb="FFFFFFFF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86DE"/>
        <bgColor rgb="FF0070C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ADBD8"/>
      </patternFill>
    </fill>
    <fill>
      <patternFill patternType="solid">
        <fgColor rgb="FF148F77"/>
        <bgColor rgb="FF27AE60"/>
      </patternFill>
    </fill>
    <fill>
      <patternFill patternType="solid">
        <fgColor rgb="FFEEF1F5"/>
        <bgColor rgb="FFEEEEEE"/>
      </patternFill>
    </fill>
    <fill>
      <patternFill patternType="solid">
        <fgColor rgb="FFE67E22"/>
        <bgColor rgb="FFFF9900"/>
      </patternFill>
    </fill>
    <fill>
      <patternFill patternType="solid">
        <fgColor rgb="FF6C3483"/>
        <bgColor rgb="FF8E44AD"/>
      </patternFill>
    </fill>
    <fill>
      <patternFill patternType="solid">
        <fgColor rgb="FFC0392B"/>
        <bgColor rgb="FF8E44AD"/>
      </patternFill>
    </fill>
    <fill>
      <patternFill patternType="solid">
        <fgColor rgb="FFE8DAEF"/>
        <bgColor rgb="FFDDDDDD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148F77"/>
      </left>
      <right/>
      <top style="thin">
        <color rgb="FF148F77"/>
      </top>
      <bottom style="thin">
        <color rgb="FF148F77"/>
      </bottom>
      <diagonal/>
    </border>
    <border>
      <left style="thin">
        <color rgb="FF2E86DE"/>
      </left>
      <right/>
      <top style="thin">
        <color rgb="FF2E86DE"/>
      </top>
      <bottom style="thin">
        <color rgb="FF2E86DE"/>
      </bottom>
      <diagonal/>
    </border>
    <border>
      <left style="thin">
        <color rgb="FF1B2A4A"/>
      </left>
      <right/>
      <top style="thin">
        <color rgb="FF1B2A4A"/>
      </top>
      <bottom style="thin">
        <color rgb="FF1B2A4A"/>
      </bottom>
      <diagonal/>
    </border>
    <border>
      <left style="thin">
        <color rgb="FFD5DAE3"/>
      </left>
      <right/>
      <top style="thin">
        <color rgb="FFD5DAE3"/>
      </top>
      <bottom style="thin">
        <color rgb="FFD5DAE3"/>
      </bottom>
      <diagonal/>
    </border>
    <border>
      <left style="thin">
        <color rgb="FFE67E22"/>
      </left>
      <right/>
      <top style="thin">
        <color rgb="FFE67E22"/>
      </top>
      <bottom style="thin">
        <color rgb="FFE67E22"/>
      </bottom>
      <diagonal/>
    </border>
    <border>
      <left style="thin">
        <color rgb="FF6C3483"/>
      </left>
      <right/>
      <top style="thin">
        <color rgb="FF6C3483"/>
      </top>
      <bottom style="thin">
        <color rgb="FF6C3483"/>
      </bottom>
      <diagonal/>
    </border>
    <border>
      <left style="thin">
        <color rgb="FFC0392B"/>
      </left>
      <right/>
      <top style="thin">
        <color rgb="FFC0392B"/>
      </top>
      <bottom style="thin">
        <color rgb="FFC0392B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2E86DE"/>
      </left>
      <right style="thin">
        <color rgb="FF2E86DE"/>
      </right>
      <top style="thin">
        <color rgb="FF2E86DE"/>
      </top>
      <bottom style="thin">
        <color rgb="FF2E86D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7">
    <xf numFmtId="0" fontId="0" fillId="0" borderId="0" xfId="0"/>
    <xf numFmtId="165" fontId="18" fillId="4" borderId="6" xfId="0" applyNumberFormat="1" applyFont="1" applyFill="1" applyBorder="1" applyAlignment="1">
      <alignment horizontal="center" vertical="center"/>
    </xf>
    <xf numFmtId="164" fontId="17" fillId="4" borderId="6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9" fontId="4" fillId="4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9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167" fontId="5" fillId="5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24" fillId="0" borderId="0" xfId="0" applyFont="1"/>
    <xf numFmtId="164" fontId="24" fillId="0" borderId="0" xfId="0" applyNumberFormat="1" applyFont="1"/>
    <xf numFmtId="164" fontId="27" fillId="4" borderId="0" xfId="0" applyNumberFormat="1" applyFont="1" applyFill="1"/>
    <xf numFmtId="0" fontId="16" fillId="3" borderId="11" xfId="0" applyFont="1" applyFill="1" applyBorder="1" applyAlignment="1">
      <alignment horizontal="center" vertical="center"/>
    </xf>
    <xf numFmtId="0" fontId="7" fillId="11" borderId="12" xfId="0" applyFont="1" applyFill="1" applyBorder="1" applyAlignment="1">
      <alignment horizontal="center" vertical="center"/>
    </xf>
    <xf numFmtId="165" fontId="8" fillId="6" borderId="12" xfId="0" applyNumberFormat="1" applyFont="1" applyFill="1" applyBorder="1" applyAlignment="1">
      <alignment horizontal="center" vertical="center"/>
    </xf>
    <xf numFmtId="9" fontId="5" fillId="11" borderId="12" xfId="0" applyNumberFormat="1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9" fontId="5" fillId="4" borderId="12" xfId="0" applyNumberFormat="1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center" vertical="center"/>
    </xf>
    <xf numFmtId="0" fontId="28" fillId="9" borderId="12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right" vertical="center"/>
    </xf>
    <xf numFmtId="3" fontId="4" fillId="11" borderId="12" xfId="0" applyNumberFormat="1" applyFont="1" applyFill="1" applyBorder="1" applyAlignment="1">
      <alignment horizontal="right" vertical="center"/>
    </xf>
    <xf numFmtId="9" fontId="8" fillId="6" borderId="12" xfId="0" applyNumberFormat="1" applyFont="1" applyFill="1" applyBorder="1" applyAlignment="1">
      <alignment horizontal="center" vertical="center"/>
    </xf>
    <xf numFmtId="0" fontId="29" fillId="11" borderId="12" xfId="0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right" vertical="center"/>
    </xf>
    <xf numFmtId="164" fontId="19" fillId="4" borderId="6" xfId="0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6" fillId="13" borderId="8" xfId="0" applyFont="1" applyFill="1" applyBorder="1" applyAlignment="1">
      <alignment horizontal="center" vertical="center"/>
    </xf>
    <xf numFmtId="0" fontId="16" fillId="14" borderId="9" xfId="0" applyFont="1" applyFill="1" applyBorder="1" applyAlignment="1">
      <alignment horizontal="center" vertical="center"/>
    </xf>
    <xf numFmtId="165" fontId="21" fillId="4" borderId="6" xfId="0" applyNumberFormat="1" applyFont="1" applyFill="1" applyBorder="1" applyAlignment="1">
      <alignment horizontal="center" vertical="center"/>
    </xf>
    <xf numFmtId="3" fontId="22" fillId="4" borderId="6" xfId="0" applyNumberFormat="1" applyFont="1" applyFill="1" applyBorder="1" applyAlignment="1">
      <alignment horizontal="center" vertical="center"/>
    </xf>
    <xf numFmtId="165" fontId="23" fillId="4" borderId="6" xfId="0" applyNumberFormat="1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6" fillId="3" borderId="4" xfId="0" applyFont="1" applyFill="1" applyBorder="1" applyAlignment="1">
      <alignment horizontal="right" vertical="center"/>
    </xf>
    <xf numFmtId="0" fontId="8" fillId="11" borderId="10" xfId="0" applyFont="1" applyFill="1" applyBorder="1" applyAlignment="1">
      <alignment horizontal="center" vertical="center"/>
    </xf>
    <xf numFmtId="164" fontId="5" fillId="11" borderId="10" xfId="0" applyNumberFormat="1" applyFont="1" applyFill="1" applyBorder="1" applyAlignment="1">
      <alignment horizontal="right" vertical="center"/>
    </xf>
    <xf numFmtId="164" fontId="8" fillId="6" borderId="10" xfId="0" applyNumberFormat="1" applyFont="1" applyFill="1" applyBorder="1" applyAlignment="1">
      <alignment horizontal="right" vertical="center"/>
    </xf>
    <xf numFmtId="0" fontId="8" fillId="11" borderId="10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center" vertical="center"/>
    </xf>
    <xf numFmtId="165" fontId="5" fillId="11" borderId="1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right" vertical="center"/>
    </xf>
    <xf numFmtId="0" fontId="25" fillId="4" borderId="10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26" fillId="4" borderId="10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right" vertical="center"/>
    </xf>
    <xf numFmtId="0" fontId="16" fillId="3" borderId="4" xfId="0" applyFont="1" applyFill="1" applyBorder="1" applyAlignment="1">
      <alignment horizontal="left" vertical="center"/>
    </xf>
    <xf numFmtId="0" fontId="9" fillId="11" borderId="10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3" fontId="4" fillId="11" borderId="10" xfId="0" applyNumberFormat="1" applyFont="1" applyFill="1" applyBorder="1" applyAlignment="1">
      <alignment horizontal="right" vertical="center"/>
    </xf>
    <xf numFmtId="9" fontId="4" fillId="11" borderId="10" xfId="0" applyNumberFormat="1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left" vertical="center" wrapText="1"/>
    </xf>
    <xf numFmtId="3" fontId="4" fillId="4" borderId="10" xfId="0" applyNumberFormat="1" applyFont="1" applyFill="1" applyBorder="1" applyAlignment="1">
      <alignment horizontal="right" vertical="center"/>
    </xf>
    <xf numFmtId="9" fontId="4" fillId="4" borderId="10" xfId="0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 vertical="center" wrapText="1"/>
    </xf>
    <xf numFmtId="0" fontId="30" fillId="7" borderId="10" xfId="0" applyFont="1" applyFill="1" applyBorder="1" applyAlignment="1">
      <alignment horizontal="left" vertical="center" wrapText="1"/>
    </xf>
    <xf numFmtId="0" fontId="30" fillId="9" borderId="10" xfId="0" applyFont="1" applyFill="1" applyBorder="1" applyAlignment="1">
      <alignment horizontal="left" vertical="center" wrapText="1"/>
    </xf>
    <xf numFmtId="0" fontId="30" fillId="15" borderId="10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DEB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A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BBBBBB"/>
      <rgbColor rgb="FF7F8C8D"/>
      <rgbColor rgb="FFDDDDDD"/>
      <rgbColor rgb="FF6C3483"/>
      <rgbColor rgb="FFFDEBD0"/>
      <rgbColor rgb="FFD6EAF8"/>
      <rgbColor rgb="FF660066"/>
      <rgbColor rgb="FFFF8080"/>
      <rgbColor rgb="FF0070C0"/>
      <rgbColor rgb="FFD5DAE3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EEF1F5"/>
      <rgbColor rgb="FFD5F5E3"/>
      <rgbColor rgb="FFEEEEEE"/>
      <rgbColor rgb="FFCCCCCC"/>
      <rgbColor rgb="FFE8DAEF"/>
      <rgbColor rgb="FFD9D9D9"/>
      <rgbColor rgb="FFFADBD8"/>
      <rgbColor rgb="FF2E86DE"/>
      <rgbColor rgb="FF33CCCC"/>
      <rgbColor rgb="FF99CC00"/>
      <rgbColor rgb="FFFFCC00"/>
      <rgbColor rgb="FFFF9900"/>
      <rgbColor rgb="FFE67E22"/>
      <rgbColor rgb="FF6C757D"/>
      <rgbColor rgb="FFB3B3B3"/>
      <rgbColor rgb="FF003366"/>
      <rgbColor rgb="FF27AE60"/>
      <rgbColor rgb="FF003300"/>
      <rgbColor rgb="FF333300"/>
      <rgbColor rgb="FFC0392B"/>
      <rgbColor rgb="FF8E44AD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dashboard!$E$15</c:f>
              <c:strCache>
                <c:ptCount val="1"/>
                <c:pt idx="0">
                  <c:v>Enterprise</c:v>
                </c:pt>
              </c:strCache>
            </c:strRef>
          </c:tx>
          <c:spPr>
            <a:solidFill>
              <a:srgbClr val="1B2A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dashboard!$C$16:$C$27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dashboard!$E$16:$E$27</c:f>
              <c:numCache>
                <c:formatCode>\$#,##0</c:formatCode>
                <c:ptCount val="12"/>
                <c:pt idx="0">
                  <c:v>197000</c:v>
                </c:pt>
                <c:pt idx="1">
                  <c:v>183000</c:v>
                </c:pt>
                <c:pt idx="2">
                  <c:v>220000</c:v>
                </c:pt>
                <c:pt idx="3">
                  <c:v>170000</c:v>
                </c:pt>
                <c:pt idx="4">
                  <c:v>171000</c:v>
                </c:pt>
                <c:pt idx="5">
                  <c:v>171000</c:v>
                </c:pt>
                <c:pt idx="6">
                  <c:v>137000</c:v>
                </c:pt>
                <c:pt idx="7">
                  <c:v>123000</c:v>
                </c:pt>
                <c:pt idx="8">
                  <c:v>148000</c:v>
                </c:pt>
                <c:pt idx="9">
                  <c:v>117000</c:v>
                </c:pt>
                <c:pt idx="10">
                  <c:v>132000</c:v>
                </c:pt>
                <c:pt idx="11">
                  <c:v>163000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1-4C31-A862-37474481502F}"/>
            </c:ext>
          </c:extLst>
        </c:ser>
        <c:ser>
          <c:idx val="1"/>
          <c:order val="1"/>
          <c:tx>
            <c:strRef>
              <c:f>dashboard!$G$15</c:f>
              <c:strCache>
                <c:ptCount val="1"/>
                <c:pt idx="0">
                  <c:v>Mid-Market</c:v>
                </c:pt>
              </c:strCache>
            </c:strRef>
          </c:tx>
          <c:spPr>
            <a:solidFill>
              <a:srgbClr val="2E86D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dashboard!$C$16:$C$27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dashboard!$G$16:$G$27</c:f>
              <c:numCache>
                <c:formatCode>\$#,##0</c:formatCode>
                <c:ptCount val="12"/>
                <c:pt idx="0">
                  <c:v>130000</c:v>
                </c:pt>
                <c:pt idx="1">
                  <c:v>122000</c:v>
                </c:pt>
                <c:pt idx="2">
                  <c:v>140000</c:v>
                </c:pt>
                <c:pt idx="3">
                  <c:v>112000</c:v>
                </c:pt>
                <c:pt idx="4">
                  <c:v>114000</c:v>
                </c:pt>
                <c:pt idx="5">
                  <c:v>112000</c:v>
                </c:pt>
                <c:pt idx="6">
                  <c:v>89000</c:v>
                </c:pt>
                <c:pt idx="7">
                  <c:v>82000</c:v>
                </c:pt>
                <c:pt idx="8">
                  <c:v>98000</c:v>
                </c:pt>
                <c:pt idx="9">
                  <c:v>78000</c:v>
                </c:pt>
                <c:pt idx="10">
                  <c:v>87000</c:v>
                </c:pt>
                <c:pt idx="11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C1-4C31-A862-37474481502F}"/>
            </c:ext>
          </c:extLst>
        </c:ser>
        <c:ser>
          <c:idx val="2"/>
          <c:order val="2"/>
          <c:tx>
            <c:strRef>
              <c:f>dashboard!$V$15</c:f>
              <c:strCache>
                <c:ptCount val="1"/>
                <c:pt idx="0">
                  <c:v>SMB</c:v>
                </c:pt>
              </c:strCache>
            </c:strRef>
          </c:tx>
          <c:spPr>
            <a:solidFill>
              <a:srgbClr val="148F7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dashboard!$C$16:$C$27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dashboard!$V$16:$V$27</c:f>
              <c:numCache>
                <c:formatCode>\$#,##0</c:formatCode>
                <c:ptCount val="12"/>
                <c:pt idx="0">
                  <c:v>50000</c:v>
                </c:pt>
                <c:pt idx="1">
                  <c:v>44000</c:v>
                </c:pt>
                <c:pt idx="2">
                  <c:v>55000</c:v>
                </c:pt>
                <c:pt idx="3">
                  <c:v>44000</c:v>
                </c:pt>
                <c:pt idx="4">
                  <c:v>45000</c:v>
                </c:pt>
                <c:pt idx="5">
                  <c:v>42000</c:v>
                </c:pt>
                <c:pt idx="6">
                  <c:v>32000</c:v>
                </c:pt>
                <c:pt idx="7">
                  <c:v>37000</c:v>
                </c:pt>
                <c:pt idx="8">
                  <c:v>50000</c:v>
                </c:pt>
                <c:pt idx="9">
                  <c:v>43000</c:v>
                </c:pt>
                <c:pt idx="10">
                  <c:v>43000</c:v>
                </c:pt>
                <c:pt idx="11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C1-4C31-A862-37474481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830631"/>
        <c:axId val="25051861"/>
      </c:barChart>
      <c:catAx>
        <c:axId val="468306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51861"/>
        <c:crosses val="autoZero"/>
        <c:auto val="1"/>
        <c:lblAlgn val="ctr"/>
        <c:lblOffset val="100"/>
        <c:noMultiLvlLbl val="0"/>
      </c:catAx>
      <c:valAx>
        <c:axId val="250518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306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13</xdr:row>
      <xdr:rowOff>0</xdr:rowOff>
    </xdr:from>
    <xdr:to>
      <xdr:col>19</xdr:col>
      <xdr:colOff>93383</xdr:colOff>
      <xdr:row>40</xdr:row>
      <xdr:rowOff>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3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28" customWidth="1"/>
    <col min="3" max="14" width="18" customWidth="1"/>
  </cols>
  <sheetData>
    <row r="1" spans="1:14" ht="30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7.5" customHeight="1" x14ac:dyDescent="0.35"/>
    <row r="4" spans="1:14" ht="18" customHeight="1" x14ac:dyDescent="0.35">
      <c r="A4" s="12" t="s">
        <v>2</v>
      </c>
      <c r="B4" s="12"/>
      <c r="C4" s="12"/>
      <c r="D4" s="12"/>
      <c r="E4" s="12"/>
      <c r="F4" s="12"/>
      <c r="G4" s="12"/>
      <c r="H4" s="12"/>
    </row>
    <row r="5" spans="1:14" ht="15" customHeight="1" x14ac:dyDescent="0.35">
      <c r="A5" s="15" t="s">
        <v>3</v>
      </c>
      <c r="B5" s="16" t="s">
        <v>4</v>
      </c>
    </row>
    <row r="6" spans="1:14" ht="15" customHeight="1" x14ac:dyDescent="0.35">
      <c r="A6" s="15" t="s">
        <v>5</v>
      </c>
      <c r="B6" s="16" t="s">
        <v>6</v>
      </c>
    </row>
    <row r="7" spans="1:14" ht="15" customHeight="1" x14ac:dyDescent="0.35">
      <c r="A7" s="15" t="s">
        <v>7</v>
      </c>
      <c r="B7" s="16" t="s">
        <v>8</v>
      </c>
    </row>
    <row r="8" spans="1:14" ht="15" customHeight="1" x14ac:dyDescent="0.35">
      <c r="A8" s="15" t="s">
        <v>9</v>
      </c>
      <c r="B8" s="16" t="s">
        <v>10</v>
      </c>
    </row>
    <row r="9" spans="1:14" ht="15" customHeight="1" x14ac:dyDescent="0.35">
      <c r="A9" s="15" t="s">
        <v>11</v>
      </c>
      <c r="B9" s="16" t="s">
        <v>12</v>
      </c>
    </row>
    <row r="10" spans="1:14" ht="15" customHeight="1" x14ac:dyDescent="0.35">
      <c r="A10" s="15" t="s">
        <v>13</v>
      </c>
      <c r="B10" s="16" t="s">
        <v>14</v>
      </c>
    </row>
    <row r="11" spans="1:14" ht="9.75" customHeight="1" x14ac:dyDescent="0.35"/>
    <row r="12" spans="1:14" ht="18" customHeight="1" x14ac:dyDescent="0.35">
      <c r="A12" s="12" t="s">
        <v>15</v>
      </c>
      <c r="B12" s="12"/>
      <c r="C12" s="12"/>
      <c r="D12" s="12"/>
      <c r="E12" s="12"/>
      <c r="F12" s="12"/>
      <c r="G12" s="12"/>
      <c r="H12" s="12"/>
    </row>
    <row r="13" spans="1:14" ht="15" customHeight="1" x14ac:dyDescent="0.35">
      <c r="A13" s="15" t="s">
        <v>16</v>
      </c>
      <c r="B13" s="17">
        <v>31000000</v>
      </c>
    </row>
    <row r="14" spans="1:14" ht="15" customHeight="1" x14ac:dyDescent="0.35">
      <c r="A14" s="15" t="s">
        <v>17</v>
      </c>
      <c r="B14" s="17">
        <v>46000000</v>
      </c>
    </row>
    <row r="15" spans="1:14" ht="15" customHeight="1" x14ac:dyDescent="0.35">
      <c r="A15" s="15" t="s">
        <v>18</v>
      </c>
      <c r="B15" s="18">
        <f>(B14-B13)/B13</f>
        <v>0.4838709677419355</v>
      </c>
    </row>
    <row r="16" spans="1:14" ht="15" customHeight="1" x14ac:dyDescent="0.35">
      <c r="A16" s="15" t="s">
        <v>19</v>
      </c>
      <c r="B16" s="17">
        <v>15000000</v>
      </c>
    </row>
    <row r="17" spans="1:14" ht="9.75" customHeight="1" x14ac:dyDescent="0.35"/>
    <row r="18" spans="1:14" ht="18" customHeight="1" x14ac:dyDescent="0.35">
      <c r="A18" s="12" t="s">
        <v>20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4" ht="15" customHeight="1" x14ac:dyDescent="0.35">
      <c r="A19" s="19" t="s">
        <v>21</v>
      </c>
      <c r="B19" s="19" t="s">
        <v>22</v>
      </c>
      <c r="C19" s="19" t="s">
        <v>23</v>
      </c>
      <c r="D19" s="19" t="s">
        <v>24</v>
      </c>
      <c r="E19" s="19" t="s">
        <v>25</v>
      </c>
      <c r="F19" s="19" t="s">
        <v>26</v>
      </c>
      <c r="G19" s="19" t="s">
        <v>27</v>
      </c>
      <c r="H19" s="19" t="s">
        <v>28</v>
      </c>
      <c r="I19" s="19" t="s">
        <v>29</v>
      </c>
      <c r="J19" s="19" t="s">
        <v>30</v>
      </c>
    </row>
    <row r="20" spans="1:14" ht="15" customHeight="1" x14ac:dyDescent="0.35">
      <c r="A20" s="20" t="s">
        <v>31</v>
      </c>
      <c r="B20" s="21" t="s">
        <v>32</v>
      </c>
      <c r="C20" s="22">
        <v>1</v>
      </c>
      <c r="D20" s="22">
        <v>2</v>
      </c>
      <c r="E20" s="22">
        <v>1</v>
      </c>
      <c r="F20" s="22">
        <v>0</v>
      </c>
      <c r="G20" s="22">
        <v>0</v>
      </c>
      <c r="H20" s="22">
        <v>1</v>
      </c>
      <c r="I20" s="22">
        <v>5</v>
      </c>
      <c r="J20" s="21" t="s">
        <v>33</v>
      </c>
    </row>
    <row r="21" spans="1:14" ht="15" customHeight="1" x14ac:dyDescent="0.35">
      <c r="A21" s="23" t="s">
        <v>34</v>
      </c>
      <c r="B21" s="24" t="s">
        <v>35</v>
      </c>
      <c r="C21" s="25">
        <v>2</v>
      </c>
      <c r="D21" s="25">
        <v>2</v>
      </c>
      <c r="E21" s="25">
        <v>2</v>
      </c>
      <c r="F21" s="25">
        <v>1</v>
      </c>
      <c r="G21" s="25">
        <v>0</v>
      </c>
      <c r="H21" s="25">
        <v>0</v>
      </c>
      <c r="I21" s="25">
        <v>7</v>
      </c>
      <c r="J21" s="24" t="s">
        <v>36</v>
      </c>
    </row>
    <row r="22" spans="1:14" ht="15" customHeight="1" x14ac:dyDescent="0.35">
      <c r="A22" s="20" t="s">
        <v>37</v>
      </c>
      <c r="B22" s="21" t="s">
        <v>38</v>
      </c>
      <c r="C22" s="22">
        <v>2</v>
      </c>
      <c r="D22" s="22">
        <v>2</v>
      </c>
      <c r="E22" s="22">
        <v>1</v>
      </c>
      <c r="F22" s="22">
        <v>0</v>
      </c>
      <c r="G22" s="22">
        <v>1</v>
      </c>
      <c r="H22" s="22">
        <v>0</v>
      </c>
      <c r="I22" s="22">
        <v>6</v>
      </c>
      <c r="J22" s="21" t="s">
        <v>39</v>
      </c>
    </row>
    <row r="23" spans="1:14" ht="15" customHeight="1" x14ac:dyDescent="0.35">
      <c r="A23" s="26" t="s">
        <v>40</v>
      </c>
      <c r="B23" s="27" t="s">
        <v>41</v>
      </c>
      <c r="C23" s="27">
        <v>5</v>
      </c>
      <c r="D23" s="27">
        <v>6</v>
      </c>
      <c r="E23" s="27">
        <v>4</v>
      </c>
      <c r="F23" s="27">
        <v>1</v>
      </c>
      <c r="G23" s="27">
        <v>1</v>
      </c>
      <c r="H23" s="27">
        <v>1</v>
      </c>
      <c r="I23" s="27">
        <v>21</v>
      </c>
      <c r="J23" s="27"/>
    </row>
    <row r="24" spans="1:14" ht="9.75" customHeight="1" x14ac:dyDescent="0.35"/>
    <row r="25" spans="1:14" ht="18" customHeight="1" x14ac:dyDescent="0.35">
      <c r="A25" s="12" t="s">
        <v>42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15.75" customHeight="1" x14ac:dyDescent="0.35">
      <c r="A26" s="28" t="s">
        <v>43</v>
      </c>
      <c r="B26" s="11" t="s">
        <v>44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5.75" customHeight="1" x14ac:dyDescent="0.35">
      <c r="A27" s="29" t="s">
        <v>45</v>
      </c>
      <c r="B27" s="10" t="s">
        <v>46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.75" customHeight="1" x14ac:dyDescent="0.35">
      <c r="A28" s="28" t="s">
        <v>47</v>
      </c>
      <c r="B28" s="11" t="s">
        <v>48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5.75" customHeight="1" x14ac:dyDescent="0.35">
      <c r="A29" s="29" t="s">
        <v>49</v>
      </c>
      <c r="B29" s="10" t="s">
        <v>50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.75" customHeight="1" x14ac:dyDescent="0.35">
      <c r="A30" s="28" t="s">
        <v>51</v>
      </c>
      <c r="B30" s="11" t="s">
        <v>52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5.75" customHeight="1" x14ac:dyDescent="0.35">
      <c r="A31" s="29" t="s">
        <v>53</v>
      </c>
      <c r="B31" s="10" t="s">
        <v>54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.75" customHeight="1" x14ac:dyDescent="0.35">
      <c r="A32" s="28" t="s">
        <v>55</v>
      </c>
      <c r="B32" s="11" t="s">
        <v>56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.75" customHeight="1" x14ac:dyDescent="0.35">
      <c r="A33" s="29" t="s">
        <v>57</v>
      </c>
      <c r="B33" s="10" t="s">
        <v>58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.75" customHeight="1" x14ac:dyDescent="0.35">
      <c r="A34" s="28" t="s">
        <v>59</v>
      </c>
      <c r="B34" s="11" t="s">
        <v>60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ht="15.75" customHeight="1" x14ac:dyDescent="0.35">
      <c r="A35" s="29" t="s">
        <v>61</v>
      </c>
      <c r="B35" s="10" t="s">
        <v>62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.75" customHeight="1" x14ac:dyDescent="0.35">
      <c r="A36" s="28" t="s">
        <v>63</v>
      </c>
      <c r="B36" s="11" t="s">
        <v>64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ht="15.75" customHeight="1" x14ac:dyDescent="0.35">
      <c r="A37" s="29" t="s">
        <v>65</v>
      </c>
      <c r="B37" s="10" t="s">
        <v>66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</sheetData>
  <mergeCells count="18">
    <mergeCell ref="B35:N35"/>
    <mergeCell ref="B36:N36"/>
    <mergeCell ref="B37:N37"/>
    <mergeCell ref="B30:N30"/>
    <mergeCell ref="B31:N31"/>
    <mergeCell ref="B32:N32"/>
    <mergeCell ref="B33:N33"/>
    <mergeCell ref="B34:N34"/>
    <mergeCell ref="A25:N25"/>
    <mergeCell ref="B26:N26"/>
    <mergeCell ref="B27:N27"/>
    <mergeCell ref="B28:N28"/>
    <mergeCell ref="B29:N29"/>
    <mergeCell ref="A1:N1"/>
    <mergeCell ref="A2:N2"/>
    <mergeCell ref="A4:H4"/>
    <mergeCell ref="A12:H12"/>
    <mergeCell ref="A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DE"/>
  </sheetPr>
  <dimension ref="A1:N27"/>
  <sheetViews>
    <sheetView showGridLines="0" zoomScale="60" zoomScaleNormal="60" workbookViewId="0">
      <pane ySplit="4" topLeftCell="A5" activePane="bottomLeft" state="frozen"/>
      <selection pane="bottomLeft" activeCell="A8" sqref="A8"/>
    </sheetView>
  </sheetViews>
  <sheetFormatPr defaultColWidth="8.6328125" defaultRowHeight="14.5" x14ac:dyDescent="0.35"/>
  <cols>
    <col min="1" max="1" width="20" customWidth="1"/>
    <col min="2" max="2" width="12" customWidth="1"/>
    <col min="3" max="3" width="14" customWidth="1"/>
    <col min="4" max="6" width="18" customWidth="1"/>
    <col min="7" max="7" width="20" customWidth="1"/>
    <col min="8" max="8" width="16" customWidth="1"/>
    <col min="9" max="9" width="18" customWidth="1"/>
    <col min="10" max="10" width="16" customWidth="1"/>
    <col min="11" max="11" width="18" customWidth="1"/>
    <col min="12" max="12" width="16" customWidth="1"/>
    <col min="13" max="13" width="18" customWidth="1"/>
    <col min="14" max="14" width="30" customWidth="1"/>
  </cols>
  <sheetData>
    <row r="1" spans="1:14" ht="30" customHeight="1" x14ac:dyDescent="0.35">
      <c r="A1" s="14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5">
      <c r="A2" s="13" t="s">
        <v>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6" customHeight="1" x14ac:dyDescent="0.35"/>
    <row r="4" spans="1:14" ht="15" customHeight="1" x14ac:dyDescent="0.35">
      <c r="A4" s="19" t="s">
        <v>69</v>
      </c>
      <c r="B4" s="19" t="s">
        <v>70</v>
      </c>
      <c r="C4" s="19" t="s">
        <v>21</v>
      </c>
      <c r="D4" s="19" t="s">
        <v>71</v>
      </c>
      <c r="E4" s="19" t="s">
        <v>72</v>
      </c>
      <c r="F4" s="19" t="s">
        <v>73</v>
      </c>
      <c r="G4" s="19" t="s">
        <v>74</v>
      </c>
      <c r="H4" s="19" t="s">
        <v>75</v>
      </c>
      <c r="I4" s="19" t="s">
        <v>76</v>
      </c>
      <c r="J4" s="19" t="s">
        <v>77</v>
      </c>
      <c r="K4" s="19" t="s">
        <v>78</v>
      </c>
      <c r="L4" s="19" t="s">
        <v>79</v>
      </c>
      <c r="M4" s="19" t="s">
        <v>80</v>
      </c>
      <c r="N4" s="19" t="s">
        <v>30</v>
      </c>
    </row>
    <row r="5" spans="1:14" ht="15" customHeight="1" x14ac:dyDescent="0.35">
      <c r="A5" s="30" t="str">
        <f>B5&amp;"_"&amp;C5</f>
        <v>SDR_Enterprise</v>
      </c>
      <c r="B5" s="31" t="s">
        <v>81</v>
      </c>
      <c r="C5" s="31" t="s">
        <v>31</v>
      </c>
      <c r="D5" s="32">
        <v>62000</v>
      </c>
      <c r="E5" s="32">
        <v>85000</v>
      </c>
      <c r="F5" s="33">
        <v>96</v>
      </c>
      <c r="G5" s="34">
        <v>319</v>
      </c>
      <c r="H5" s="22" t="s">
        <v>82</v>
      </c>
      <c r="I5" s="35">
        <v>1.1000000000000001</v>
      </c>
      <c r="J5" s="22">
        <v>1.3</v>
      </c>
      <c r="K5" s="22" t="s">
        <v>83</v>
      </c>
      <c r="L5" s="22" t="s">
        <v>83</v>
      </c>
      <c r="M5" s="20" t="s">
        <v>84</v>
      </c>
      <c r="N5" s="36" t="s">
        <v>85</v>
      </c>
    </row>
    <row r="6" spans="1:14" ht="15" customHeight="1" x14ac:dyDescent="0.35">
      <c r="A6" s="37" t="str">
        <f t="shared" ref="A5:A14" si="0">B6&amp;"_"&amp;C6</f>
        <v>SDR_Mid-Market</v>
      </c>
      <c r="B6" s="16" t="s">
        <v>81</v>
      </c>
      <c r="C6" s="16" t="s">
        <v>34</v>
      </c>
      <c r="D6" s="38">
        <v>55000</v>
      </c>
      <c r="E6" s="38">
        <v>75000</v>
      </c>
      <c r="F6" s="39">
        <v>120</v>
      </c>
      <c r="G6" s="40">
        <v>167</v>
      </c>
      <c r="H6" s="25" t="s">
        <v>82</v>
      </c>
      <c r="I6" s="41">
        <v>1.1000000000000001</v>
      </c>
      <c r="J6" s="25">
        <v>1.25</v>
      </c>
      <c r="K6" s="25" t="s">
        <v>83</v>
      </c>
      <c r="L6" s="25" t="s">
        <v>83</v>
      </c>
      <c r="M6" s="23" t="s">
        <v>84</v>
      </c>
      <c r="N6" s="42" t="s">
        <v>85</v>
      </c>
    </row>
    <row r="7" spans="1:14" ht="15" customHeight="1" x14ac:dyDescent="0.35">
      <c r="A7" s="30" t="str">
        <f t="shared" si="0"/>
        <v>SDR_SMB</v>
      </c>
      <c r="B7" s="31" t="s">
        <v>81</v>
      </c>
      <c r="C7" s="31" t="s">
        <v>37</v>
      </c>
      <c r="D7" s="32">
        <v>48000</v>
      </c>
      <c r="E7" s="32">
        <v>65000</v>
      </c>
      <c r="F7" s="33">
        <v>192</v>
      </c>
      <c r="G7" s="34">
        <v>89</v>
      </c>
      <c r="H7" s="22" t="s">
        <v>82</v>
      </c>
      <c r="I7" s="35">
        <v>1.1000000000000001</v>
      </c>
      <c r="J7" s="22">
        <v>1.2</v>
      </c>
      <c r="K7" s="22" t="s">
        <v>83</v>
      </c>
      <c r="L7" s="22" t="s">
        <v>83</v>
      </c>
      <c r="M7" s="20" t="s">
        <v>84</v>
      </c>
      <c r="N7" s="36" t="s">
        <v>85</v>
      </c>
    </row>
    <row r="8" spans="1:14" ht="15" customHeight="1" x14ac:dyDescent="0.35">
      <c r="A8" s="37" t="str">
        <f>B8&amp;"_"&amp;C8</f>
        <v>AE_Enterprise</v>
      </c>
      <c r="B8" s="16" t="s">
        <v>86</v>
      </c>
      <c r="C8" s="16" t="s">
        <v>31</v>
      </c>
      <c r="D8" s="38">
        <v>95000</v>
      </c>
      <c r="E8" s="38">
        <v>185000</v>
      </c>
      <c r="F8" s="38">
        <v>900000</v>
      </c>
      <c r="G8" s="43">
        <v>0.1</v>
      </c>
      <c r="H8" s="25" t="s">
        <v>87</v>
      </c>
      <c r="I8" s="41">
        <v>1</v>
      </c>
      <c r="J8" s="25">
        <v>1.25</v>
      </c>
      <c r="K8" s="41">
        <v>1.2</v>
      </c>
      <c r="L8" s="25">
        <v>1.5</v>
      </c>
      <c r="M8" s="23" t="s">
        <v>88</v>
      </c>
      <c r="N8" s="42" t="s">
        <v>89</v>
      </c>
    </row>
    <row r="9" spans="1:14" ht="15" customHeight="1" x14ac:dyDescent="0.35">
      <c r="A9" s="30" t="str">
        <f t="shared" si="0"/>
        <v>AE_Mid-Market</v>
      </c>
      <c r="B9" s="31" t="s">
        <v>86</v>
      </c>
      <c r="C9" s="31" t="s">
        <v>34</v>
      </c>
      <c r="D9" s="32">
        <v>80000</v>
      </c>
      <c r="E9" s="32">
        <v>140000</v>
      </c>
      <c r="F9" s="32">
        <v>600000</v>
      </c>
      <c r="G9" s="44">
        <v>0.1</v>
      </c>
      <c r="H9" s="22" t="s">
        <v>87</v>
      </c>
      <c r="I9" s="35">
        <v>1</v>
      </c>
      <c r="J9" s="22">
        <v>1.25</v>
      </c>
      <c r="K9" s="35">
        <v>1.2</v>
      </c>
      <c r="L9" s="22">
        <v>1.5</v>
      </c>
      <c r="M9" s="20" t="s">
        <v>88</v>
      </c>
      <c r="N9" s="36" t="s">
        <v>89</v>
      </c>
    </row>
    <row r="10" spans="1:14" ht="15" customHeight="1" x14ac:dyDescent="0.35">
      <c r="A10" s="37" t="str">
        <f t="shared" si="0"/>
        <v>AE_SMB</v>
      </c>
      <c r="B10" s="16" t="s">
        <v>86</v>
      </c>
      <c r="C10" s="16" t="s">
        <v>37</v>
      </c>
      <c r="D10" s="38">
        <v>65000</v>
      </c>
      <c r="E10" s="38">
        <v>95000</v>
      </c>
      <c r="F10" s="38">
        <v>300000</v>
      </c>
      <c r="G10" s="43">
        <v>0.1</v>
      </c>
      <c r="H10" s="25" t="s">
        <v>87</v>
      </c>
      <c r="I10" s="41">
        <v>1</v>
      </c>
      <c r="J10" s="25">
        <v>1.2</v>
      </c>
      <c r="K10" s="41">
        <v>1.2</v>
      </c>
      <c r="L10" s="25">
        <v>1.4</v>
      </c>
      <c r="M10" s="23" t="s">
        <v>88</v>
      </c>
      <c r="N10" s="42" t="s">
        <v>89</v>
      </c>
    </row>
    <row r="11" spans="1:14" ht="15" customHeight="1" x14ac:dyDescent="0.35">
      <c r="A11" s="30" t="str">
        <f t="shared" si="0"/>
        <v>CSM_Enterprise</v>
      </c>
      <c r="B11" s="31" t="s">
        <v>90</v>
      </c>
      <c r="C11" s="31" t="s">
        <v>31</v>
      </c>
      <c r="D11" s="32">
        <v>80000</v>
      </c>
      <c r="E11" s="32">
        <v>107000</v>
      </c>
      <c r="F11" s="32">
        <v>480000</v>
      </c>
      <c r="G11" s="44">
        <v>0.06</v>
      </c>
      <c r="H11" s="22" t="s">
        <v>91</v>
      </c>
      <c r="I11" s="35">
        <v>1.05</v>
      </c>
      <c r="J11" s="22">
        <v>1.2</v>
      </c>
      <c r="K11" s="22" t="s">
        <v>83</v>
      </c>
      <c r="L11" s="22" t="s">
        <v>83</v>
      </c>
      <c r="M11" s="20" t="s">
        <v>92</v>
      </c>
      <c r="N11" s="36" t="s">
        <v>93</v>
      </c>
    </row>
    <row r="12" spans="1:14" ht="15" customHeight="1" x14ac:dyDescent="0.35">
      <c r="A12" s="37" t="str">
        <f t="shared" si="0"/>
        <v>CSM_Mid-Market</v>
      </c>
      <c r="B12" s="16" t="s">
        <v>90</v>
      </c>
      <c r="C12" s="16" t="s">
        <v>34</v>
      </c>
      <c r="D12" s="38">
        <v>70000</v>
      </c>
      <c r="E12" s="38">
        <v>105000</v>
      </c>
      <c r="F12" s="38">
        <v>180000</v>
      </c>
      <c r="G12" s="43">
        <v>0.06</v>
      </c>
      <c r="H12" s="25" t="s">
        <v>91</v>
      </c>
      <c r="I12" s="41">
        <v>1.05</v>
      </c>
      <c r="J12" s="25">
        <v>1.2</v>
      </c>
      <c r="K12" s="25" t="s">
        <v>83</v>
      </c>
      <c r="L12" s="25" t="s">
        <v>83</v>
      </c>
      <c r="M12" s="23" t="s">
        <v>92</v>
      </c>
      <c r="N12" s="42" t="s">
        <v>93</v>
      </c>
    </row>
    <row r="13" spans="1:14" ht="15" customHeight="1" x14ac:dyDescent="0.35">
      <c r="A13" s="30" t="str">
        <f t="shared" si="0"/>
        <v>CSM_SMB</v>
      </c>
      <c r="B13" s="31" t="s">
        <v>90</v>
      </c>
      <c r="C13" s="31" t="s">
        <v>37</v>
      </c>
      <c r="D13" s="32">
        <v>60000</v>
      </c>
      <c r="E13" s="32">
        <v>88000</v>
      </c>
      <c r="F13" s="32">
        <v>60000</v>
      </c>
      <c r="G13" s="44">
        <v>0.06</v>
      </c>
      <c r="H13" s="22" t="s">
        <v>91</v>
      </c>
      <c r="I13" s="35">
        <v>1.05</v>
      </c>
      <c r="J13" s="22">
        <v>1.1499999999999999</v>
      </c>
      <c r="K13" s="22" t="s">
        <v>83</v>
      </c>
      <c r="L13" s="22" t="s">
        <v>83</v>
      </c>
      <c r="M13" s="20" t="s">
        <v>92</v>
      </c>
      <c r="N13" s="36" t="s">
        <v>93</v>
      </c>
    </row>
    <row r="14" spans="1:14" ht="15" customHeight="1" x14ac:dyDescent="0.35">
      <c r="A14" s="37" t="str">
        <f t="shared" si="0"/>
        <v>Manager_All</v>
      </c>
      <c r="B14" s="16" t="s">
        <v>22</v>
      </c>
      <c r="C14" s="16" t="s">
        <v>94</v>
      </c>
      <c r="D14" s="38">
        <v>110000</v>
      </c>
      <c r="E14" s="38">
        <v>145000</v>
      </c>
      <c r="F14" s="40" t="s">
        <v>83</v>
      </c>
      <c r="G14" s="43">
        <v>0.02</v>
      </c>
      <c r="H14" s="25" t="s">
        <v>95</v>
      </c>
      <c r="I14" s="41">
        <v>1</v>
      </c>
      <c r="J14" s="25" t="s">
        <v>83</v>
      </c>
      <c r="K14" s="25" t="s">
        <v>83</v>
      </c>
      <c r="L14" s="25" t="s">
        <v>83</v>
      </c>
      <c r="M14" s="23" t="s">
        <v>96</v>
      </c>
      <c r="N14" s="42" t="s">
        <v>97</v>
      </c>
    </row>
    <row r="15" spans="1:14" ht="9.75" customHeight="1" x14ac:dyDescent="0.35"/>
    <row r="16" spans="1:14" ht="18" customHeight="1" x14ac:dyDescent="0.35">
      <c r="A16" s="12" t="s">
        <v>98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6" ht="15" customHeight="1" x14ac:dyDescent="0.35">
      <c r="A17" s="19" t="s">
        <v>69</v>
      </c>
      <c r="B17" s="19" t="s">
        <v>99</v>
      </c>
      <c r="C17" s="19" t="s">
        <v>100</v>
      </c>
      <c r="D17" s="19" t="s">
        <v>101</v>
      </c>
      <c r="E17" s="19" t="s">
        <v>102</v>
      </c>
      <c r="F17" s="19" t="s">
        <v>103</v>
      </c>
    </row>
    <row r="18" spans="1:6" ht="15" customHeight="1" x14ac:dyDescent="0.35">
      <c r="A18" s="28" t="s">
        <v>104</v>
      </c>
      <c r="B18" s="45">
        <v>0</v>
      </c>
      <c r="C18" s="45">
        <v>2000</v>
      </c>
      <c r="D18" s="45">
        <v>5000</v>
      </c>
      <c r="E18" s="45">
        <v>10000</v>
      </c>
      <c r="F18" s="22" t="s">
        <v>105</v>
      </c>
    </row>
    <row r="19" spans="1:6" ht="15" customHeight="1" x14ac:dyDescent="0.35">
      <c r="A19" s="29" t="s">
        <v>106</v>
      </c>
      <c r="B19" s="46">
        <v>0</v>
      </c>
      <c r="C19" s="46">
        <v>1500</v>
      </c>
      <c r="D19" s="46">
        <v>4000</v>
      </c>
      <c r="E19" s="46">
        <v>8000</v>
      </c>
      <c r="F19" s="25" t="s">
        <v>105</v>
      </c>
    </row>
    <row r="20" spans="1:6" ht="15" customHeight="1" x14ac:dyDescent="0.35">
      <c r="A20" s="28" t="s">
        <v>107</v>
      </c>
      <c r="B20" s="45">
        <v>0</v>
      </c>
      <c r="C20" s="45">
        <v>1000</v>
      </c>
      <c r="D20" s="45">
        <v>3000</v>
      </c>
      <c r="E20" s="45">
        <v>5000</v>
      </c>
      <c r="F20" s="22" t="s">
        <v>105</v>
      </c>
    </row>
    <row r="21" spans="1:6" ht="15" customHeight="1" x14ac:dyDescent="0.35">
      <c r="A21" s="29" t="s">
        <v>108</v>
      </c>
      <c r="B21" s="46">
        <v>0</v>
      </c>
      <c r="C21" s="46">
        <v>750</v>
      </c>
      <c r="D21" s="46">
        <v>1500</v>
      </c>
      <c r="E21" s="46">
        <v>3000</v>
      </c>
      <c r="F21" s="25" t="s">
        <v>105</v>
      </c>
    </row>
    <row r="22" spans="1:6" ht="15" customHeight="1" x14ac:dyDescent="0.35">
      <c r="A22" s="28" t="s">
        <v>109</v>
      </c>
      <c r="B22" s="45">
        <v>0</v>
      </c>
      <c r="C22" s="45">
        <v>600</v>
      </c>
      <c r="D22" s="45">
        <v>1200</v>
      </c>
      <c r="E22" s="45">
        <v>2500</v>
      </c>
      <c r="F22" s="22" t="s">
        <v>105</v>
      </c>
    </row>
    <row r="23" spans="1:6" ht="15" customHeight="1" x14ac:dyDescent="0.35">
      <c r="A23" s="29" t="s">
        <v>110</v>
      </c>
      <c r="B23" s="46">
        <v>0</v>
      </c>
      <c r="C23" s="46">
        <v>500</v>
      </c>
      <c r="D23" s="46">
        <v>1000</v>
      </c>
      <c r="E23" s="46">
        <v>2000</v>
      </c>
      <c r="F23" s="25" t="s">
        <v>105</v>
      </c>
    </row>
    <row r="24" spans="1:6" ht="15" customHeight="1" x14ac:dyDescent="0.35">
      <c r="A24" s="28" t="s">
        <v>111</v>
      </c>
      <c r="B24" s="45">
        <v>0</v>
      </c>
      <c r="C24" s="45">
        <v>1000</v>
      </c>
      <c r="D24" s="45">
        <v>2500</v>
      </c>
      <c r="E24" s="45">
        <v>5000</v>
      </c>
      <c r="F24" s="22" t="s">
        <v>105</v>
      </c>
    </row>
    <row r="25" spans="1:6" ht="15" customHeight="1" x14ac:dyDescent="0.35">
      <c r="A25" s="29" t="s">
        <v>112</v>
      </c>
      <c r="B25" s="46">
        <v>0</v>
      </c>
      <c r="C25" s="46">
        <v>750</v>
      </c>
      <c r="D25" s="46">
        <v>2000</v>
      </c>
      <c r="E25" s="46">
        <v>4000</v>
      </c>
      <c r="F25" s="25" t="s">
        <v>105</v>
      </c>
    </row>
    <row r="26" spans="1:6" ht="15" customHeight="1" x14ac:dyDescent="0.35">
      <c r="A26" s="28" t="s">
        <v>113</v>
      </c>
      <c r="B26" s="45">
        <v>0</v>
      </c>
      <c r="C26" s="45">
        <v>500</v>
      </c>
      <c r="D26" s="45">
        <v>1500</v>
      </c>
      <c r="E26" s="45">
        <v>3000</v>
      </c>
      <c r="F26" s="22" t="s">
        <v>105</v>
      </c>
    </row>
    <row r="27" spans="1:6" ht="15" customHeight="1" x14ac:dyDescent="0.35">
      <c r="A27" s="29" t="s">
        <v>114</v>
      </c>
      <c r="B27" s="46">
        <v>0</v>
      </c>
      <c r="C27" s="46">
        <v>1500</v>
      </c>
      <c r="D27" s="46">
        <v>3500</v>
      </c>
      <c r="E27" s="46">
        <v>7500</v>
      </c>
      <c r="F27" s="25" t="s">
        <v>105</v>
      </c>
    </row>
  </sheetData>
  <mergeCells count="3">
    <mergeCell ref="A1:N1"/>
    <mergeCell ref="A2:N2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8F77"/>
  </sheetPr>
  <dimension ref="A1:N26"/>
  <sheetViews>
    <sheetView showGridLines="0" zoomScaleNormal="100" workbookViewId="0">
      <pane ySplit="4" topLeftCell="A5" activePane="bottomLeft" state="frozen"/>
      <selection pane="bottomLeft" sqref="A1:N1"/>
    </sheetView>
  </sheetViews>
  <sheetFormatPr defaultColWidth="8.6328125" defaultRowHeight="14.5" x14ac:dyDescent="0.35"/>
  <cols>
    <col min="1" max="1" width="8" customWidth="1"/>
    <col min="2" max="2" width="22" customWidth="1"/>
    <col min="3" max="3" width="12" customWidth="1"/>
    <col min="4" max="4" width="14" customWidth="1"/>
    <col min="5" max="5" width="20" customWidth="1"/>
    <col min="6" max="6" width="18" customWidth="1"/>
    <col min="7" max="7" width="8" customWidth="1"/>
    <col min="8" max="9" width="14" customWidth="1"/>
    <col min="10" max="10" width="12" customWidth="1"/>
    <col min="11" max="11" width="14" customWidth="1"/>
    <col min="12" max="12" width="18" customWidth="1"/>
    <col min="13" max="14" width="16" customWidth="1"/>
  </cols>
  <sheetData>
    <row r="1" spans="1:14" ht="30" customHeight="1" x14ac:dyDescent="0.35">
      <c r="A1" s="14" t="s">
        <v>115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5">
      <c r="A2" s="13" t="s">
        <v>116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6" customHeight="1" x14ac:dyDescent="0.35"/>
    <row r="4" spans="1:14" ht="15" customHeight="1" x14ac:dyDescent="0.35">
      <c r="A4" s="19" t="s">
        <v>117</v>
      </c>
      <c r="B4" s="19" t="s">
        <v>118</v>
      </c>
      <c r="C4" s="19" t="s">
        <v>70</v>
      </c>
      <c r="D4" s="19" t="s">
        <v>21</v>
      </c>
      <c r="E4" s="19" t="s">
        <v>22</v>
      </c>
      <c r="F4" s="19" t="s">
        <v>119</v>
      </c>
      <c r="G4" s="19" t="s">
        <v>120</v>
      </c>
      <c r="H4" s="19" t="s">
        <v>121</v>
      </c>
      <c r="I4" s="19" t="s">
        <v>122</v>
      </c>
      <c r="J4" s="19" t="s">
        <v>123</v>
      </c>
      <c r="K4" s="19" t="s">
        <v>124</v>
      </c>
      <c r="L4" s="19" t="s">
        <v>69</v>
      </c>
      <c r="M4" s="19" t="s">
        <v>71</v>
      </c>
      <c r="N4" s="19" t="s">
        <v>72</v>
      </c>
    </row>
    <row r="5" spans="1:14" ht="15" customHeight="1" x14ac:dyDescent="0.35">
      <c r="A5" s="22" t="s">
        <v>125</v>
      </c>
      <c r="B5" s="47" t="s">
        <v>32</v>
      </c>
      <c r="C5" s="22" t="s">
        <v>22</v>
      </c>
      <c r="D5" s="22" t="s">
        <v>31</v>
      </c>
      <c r="E5" s="31" t="s">
        <v>83</v>
      </c>
      <c r="F5" s="31" t="s">
        <v>126</v>
      </c>
      <c r="G5" s="22" t="s">
        <v>127</v>
      </c>
      <c r="H5" s="22">
        <v>1</v>
      </c>
      <c r="I5" s="22">
        <v>12</v>
      </c>
      <c r="J5" s="48" t="s">
        <v>128</v>
      </c>
      <c r="K5" s="22" t="s">
        <v>129</v>
      </c>
      <c r="L5" s="49" t="str">
        <f t="shared" ref="L5:L25" si="0">IF(C5="Manager","Manager_All",C5&amp;"_"&amp;D5)</f>
        <v>Manager_All</v>
      </c>
      <c r="M5" s="50">
        <f>IFERROR(VLOOKUP(L5,plan_catalog!$A:$D,4,0),"")</f>
        <v>110000</v>
      </c>
      <c r="N5" s="50">
        <f>IFERROR(VLOOKUP(L5,plan_catalog!$A:$E,5,0),"")</f>
        <v>145000</v>
      </c>
    </row>
    <row r="6" spans="1:14" ht="15" customHeight="1" x14ac:dyDescent="0.35">
      <c r="A6" s="25" t="s">
        <v>130</v>
      </c>
      <c r="B6" s="51" t="s">
        <v>131</v>
      </c>
      <c r="C6" s="25" t="s">
        <v>81</v>
      </c>
      <c r="D6" s="25" t="s">
        <v>31</v>
      </c>
      <c r="E6" s="16" t="s">
        <v>32</v>
      </c>
      <c r="F6" s="16" t="s">
        <v>132</v>
      </c>
      <c r="G6" s="25" t="s">
        <v>133</v>
      </c>
      <c r="H6" s="25">
        <v>1</v>
      </c>
      <c r="I6" s="25">
        <v>12</v>
      </c>
      <c r="J6" s="48" t="s">
        <v>128</v>
      </c>
      <c r="K6" s="25" t="s">
        <v>129</v>
      </c>
      <c r="L6" s="52" t="str">
        <f t="shared" si="0"/>
        <v>SDR_Enterprise</v>
      </c>
      <c r="M6" s="53">
        <f>IFERROR(VLOOKUP(L6,plan_catalog!$A:$D,4,0),"")</f>
        <v>62000</v>
      </c>
      <c r="N6" s="53">
        <f>IFERROR(VLOOKUP(L6,plan_catalog!$A:$E,5,0),"")</f>
        <v>85000</v>
      </c>
    </row>
    <row r="7" spans="1:14" ht="15" customHeight="1" x14ac:dyDescent="0.35">
      <c r="A7" s="22" t="s">
        <v>134</v>
      </c>
      <c r="B7" s="47" t="s">
        <v>135</v>
      </c>
      <c r="C7" s="22" t="s">
        <v>86</v>
      </c>
      <c r="D7" s="22" t="s">
        <v>31</v>
      </c>
      <c r="E7" s="31" t="s">
        <v>32</v>
      </c>
      <c r="F7" s="31" t="s">
        <v>132</v>
      </c>
      <c r="G7" s="22" t="s">
        <v>133</v>
      </c>
      <c r="H7" s="22">
        <v>1</v>
      </c>
      <c r="I7" s="22">
        <v>12</v>
      </c>
      <c r="J7" s="48" t="s">
        <v>128</v>
      </c>
      <c r="K7" s="22" t="s">
        <v>129</v>
      </c>
      <c r="L7" s="49" t="str">
        <f t="shared" si="0"/>
        <v>AE_Enterprise</v>
      </c>
      <c r="M7" s="50">
        <f>IFERROR(VLOOKUP(L7,plan_catalog!$A:$D,4,0),"")</f>
        <v>95000</v>
      </c>
      <c r="N7" s="50">
        <f>IFERROR(VLOOKUP(L7,plan_catalog!$A:$E,5,0),"")</f>
        <v>185000</v>
      </c>
    </row>
    <row r="8" spans="1:14" ht="15" customHeight="1" x14ac:dyDescent="0.35">
      <c r="A8" s="25" t="s">
        <v>136</v>
      </c>
      <c r="B8" s="51" t="s">
        <v>137</v>
      </c>
      <c r="C8" s="25" t="s">
        <v>86</v>
      </c>
      <c r="D8" s="25" t="s">
        <v>31</v>
      </c>
      <c r="E8" s="16" t="s">
        <v>32</v>
      </c>
      <c r="F8" s="16" t="s">
        <v>138</v>
      </c>
      <c r="G8" s="25" t="s">
        <v>139</v>
      </c>
      <c r="H8" s="25">
        <v>1</v>
      </c>
      <c r="I8" s="25">
        <v>12</v>
      </c>
      <c r="J8" s="48" t="s">
        <v>128</v>
      </c>
      <c r="K8" s="25" t="s">
        <v>129</v>
      </c>
      <c r="L8" s="52" t="str">
        <f t="shared" si="0"/>
        <v>AE_Enterprise</v>
      </c>
      <c r="M8" s="53">
        <f>IFERROR(VLOOKUP(L8,plan_catalog!$A:$D,4,0),"")</f>
        <v>95000</v>
      </c>
      <c r="N8" s="53">
        <f>IFERROR(VLOOKUP(L8,plan_catalog!$A:$E,5,0),"")</f>
        <v>185000</v>
      </c>
    </row>
    <row r="9" spans="1:14" ht="15" customHeight="1" x14ac:dyDescent="0.35">
      <c r="A9" s="22" t="s">
        <v>140</v>
      </c>
      <c r="B9" s="47" t="s">
        <v>141</v>
      </c>
      <c r="C9" s="22" t="s">
        <v>90</v>
      </c>
      <c r="D9" s="22" t="s">
        <v>31</v>
      </c>
      <c r="E9" s="31" t="s">
        <v>32</v>
      </c>
      <c r="F9" s="31" t="s">
        <v>132</v>
      </c>
      <c r="G9" s="22" t="s">
        <v>133</v>
      </c>
      <c r="H9" s="22">
        <v>1</v>
      </c>
      <c r="I9" s="22">
        <v>9</v>
      </c>
      <c r="J9" s="54" t="s">
        <v>142</v>
      </c>
      <c r="K9" s="22" t="s">
        <v>129</v>
      </c>
      <c r="L9" s="49" t="str">
        <f t="shared" si="0"/>
        <v>CSM_Enterprise</v>
      </c>
      <c r="M9" s="50">
        <f>IFERROR(VLOOKUP(L9,plan_catalog!$A:$D,4,0),"")</f>
        <v>80000</v>
      </c>
      <c r="N9" s="50">
        <f>IFERROR(VLOOKUP(L9,plan_catalog!$A:$E,5,0),"")</f>
        <v>107000</v>
      </c>
    </row>
    <row r="10" spans="1:14" ht="15" customHeight="1" x14ac:dyDescent="0.35">
      <c r="A10" s="25" t="s">
        <v>143</v>
      </c>
      <c r="B10" s="51" t="s">
        <v>144</v>
      </c>
      <c r="C10" s="25" t="s">
        <v>90</v>
      </c>
      <c r="D10" s="25" t="s">
        <v>31</v>
      </c>
      <c r="E10" s="16" t="s">
        <v>32</v>
      </c>
      <c r="F10" s="16" t="s">
        <v>138</v>
      </c>
      <c r="G10" s="25" t="s">
        <v>139</v>
      </c>
      <c r="H10" s="25">
        <v>10</v>
      </c>
      <c r="I10" s="25">
        <v>12</v>
      </c>
      <c r="J10" s="55" t="s">
        <v>145</v>
      </c>
      <c r="K10" s="25" t="s">
        <v>146</v>
      </c>
      <c r="L10" s="52" t="str">
        <f t="shared" si="0"/>
        <v>CSM_Enterprise</v>
      </c>
      <c r="M10" s="53">
        <f>IFERROR(VLOOKUP(L10,plan_catalog!$A:$D,4,0),"")</f>
        <v>80000</v>
      </c>
      <c r="N10" s="53">
        <f>IFERROR(VLOOKUP(L10,plan_catalog!$A:$E,5,0),"")</f>
        <v>107000</v>
      </c>
    </row>
    <row r="11" spans="1:14" ht="15" customHeight="1" x14ac:dyDescent="0.35">
      <c r="A11" s="22" t="s">
        <v>147</v>
      </c>
      <c r="B11" s="47" t="s">
        <v>35</v>
      </c>
      <c r="C11" s="22" t="s">
        <v>22</v>
      </c>
      <c r="D11" s="22" t="s">
        <v>34</v>
      </c>
      <c r="E11" s="31" t="s">
        <v>83</v>
      </c>
      <c r="F11" s="31" t="s">
        <v>126</v>
      </c>
      <c r="G11" s="22" t="s">
        <v>127</v>
      </c>
      <c r="H11" s="22">
        <v>1</v>
      </c>
      <c r="I11" s="22">
        <v>12</v>
      </c>
      <c r="J11" s="48" t="s">
        <v>128</v>
      </c>
      <c r="K11" s="22" t="s">
        <v>129</v>
      </c>
      <c r="L11" s="49" t="str">
        <f t="shared" si="0"/>
        <v>Manager_All</v>
      </c>
      <c r="M11" s="50">
        <f>IFERROR(VLOOKUP(L11,plan_catalog!$A:$D,4,0),"")</f>
        <v>110000</v>
      </c>
      <c r="N11" s="50">
        <f>IFERROR(VLOOKUP(L11,plan_catalog!$A:$E,5,0),"")</f>
        <v>145000</v>
      </c>
    </row>
    <row r="12" spans="1:14" ht="15" customHeight="1" x14ac:dyDescent="0.35">
      <c r="A12" s="25" t="s">
        <v>148</v>
      </c>
      <c r="B12" s="51" t="s">
        <v>149</v>
      </c>
      <c r="C12" s="25" t="s">
        <v>81</v>
      </c>
      <c r="D12" s="25" t="s">
        <v>34</v>
      </c>
      <c r="E12" s="16" t="s">
        <v>35</v>
      </c>
      <c r="F12" s="16" t="s">
        <v>126</v>
      </c>
      <c r="G12" s="25" t="s">
        <v>127</v>
      </c>
      <c r="H12" s="25">
        <v>1</v>
      </c>
      <c r="I12" s="25">
        <v>8</v>
      </c>
      <c r="J12" s="54" t="s">
        <v>142</v>
      </c>
      <c r="K12" s="25" t="s">
        <v>129</v>
      </c>
      <c r="L12" s="52" t="str">
        <f t="shared" si="0"/>
        <v>SDR_Mid-Market</v>
      </c>
      <c r="M12" s="53">
        <f>IFERROR(VLOOKUP(L12,plan_catalog!$A:$D,4,0),"")</f>
        <v>55000</v>
      </c>
      <c r="N12" s="53">
        <f>IFERROR(VLOOKUP(L12,plan_catalog!$A:$E,5,0),"")</f>
        <v>75000</v>
      </c>
    </row>
    <row r="13" spans="1:14" ht="15" customHeight="1" x14ac:dyDescent="0.35">
      <c r="A13" s="22" t="s">
        <v>150</v>
      </c>
      <c r="B13" s="47" t="s">
        <v>151</v>
      </c>
      <c r="C13" s="22" t="s">
        <v>81</v>
      </c>
      <c r="D13" s="22" t="s">
        <v>34</v>
      </c>
      <c r="E13" s="31" t="s">
        <v>35</v>
      </c>
      <c r="F13" s="31" t="s">
        <v>152</v>
      </c>
      <c r="G13" s="22" t="s">
        <v>153</v>
      </c>
      <c r="H13" s="22">
        <v>1</v>
      </c>
      <c r="I13" s="22">
        <v>12</v>
      </c>
      <c r="J13" s="48" t="s">
        <v>128</v>
      </c>
      <c r="K13" s="22" t="s">
        <v>129</v>
      </c>
      <c r="L13" s="49" t="str">
        <f t="shared" si="0"/>
        <v>SDR_Mid-Market</v>
      </c>
      <c r="M13" s="50">
        <f>IFERROR(VLOOKUP(L13,plan_catalog!$A:$D,4,0),"")</f>
        <v>55000</v>
      </c>
      <c r="N13" s="50">
        <f>IFERROR(VLOOKUP(L13,plan_catalog!$A:$E,5,0),"")</f>
        <v>75000</v>
      </c>
    </row>
    <row r="14" spans="1:14" ht="15" customHeight="1" x14ac:dyDescent="0.35">
      <c r="A14" s="25" t="s">
        <v>154</v>
      </c>
      <c r="B14" s="51" t="s">
        <v>155</v>
      </c>
      <c r="C14" s="25" t="s">
        <v>81</v>
      </c>
      <c r="D14" s="25" t="s">
        <v>34</v>
      </c>
      <c r="E14" s="16" t="s">
        <v>35</v>
      </c>
      <c r="F14" s="16" t="s">
        <v>156</v>
      </c>
      <c r="G14" s="25" t="s">
        <v>127</v>
      </c>
      <c r="H14" s="25">
        <v>7</v>
      </c>
      <c r="I14" s="25">
        <v>12</v>
      </c>
      <c r="J14" s="55" t="s">
        <v>145</v>
      </c>
      <c r="K14" s="25" t="s">
        <v>146</v>
      </c>
      <c r="L14" s="52" t="str">
        <f t="shared" si="0"/>
        <v>SDR_Mid-Market</v>
      </c>
      <c r="M14" s="53">
        <f>IFERROR(VLOOKUP(L14,plan_catalog!$A:$D,4,0),"")</f>
        <v>55000</v>
      </c>
      <c r="N14" s="53">
        <f>IFERROR(VLOOKUP(L14,plan_catalog!$A:$E,5,0),"")</f>
        <v>75000</v>
      </c>
    </row>
    <row r="15" spans="1:14" ht="15" customHeight="1" x14ac:dyDescent="0.35">
      <c r="A15" s="22" t="s">
        <v>157</v>
      </c>
      <c r="B15" s="47" t="s">
        <v>158</v>
      </c>
      <c r="C15" s="22" t="s">
        <v>86</v>
      </c>
      <c r="D15" s="22" t="s">
        <v>34</v>
      </c>
      <c r="E15" s="31" t="s">
        <v>35</v>
      </c>
      <c r="F15" s="31" t="s">
        <v>126</v>
      </c>
      <c r="G15" s="22" t="s">
        <v>127</v>
      </c>
      <c r="H15" s="22">
        <v>1</v>
      </c>
      <c r="I15" s="22">
        <v>12</v>
      </c>
      <c r="J15" s="48" t="s">
        <v>128</v>
      </c>
      <c r="K15" s="22" t="s">
        <v>129</v>
      </c>
      <c r="L15" s="49" t="str">
        <f t="shared" si="0"/>
        <v>AE_Mid-Market</v>
      </c>
      <c r="M15" s="50">
        <f>IFERROR(VLOOKUP(L15,plan_catalog!$A:$D,4,0),"")</f>
        <v>80000</v>
      </c>
      <c r="N15" s="50">
        <f>IFERROR(VLOOKUP(L15,plan_catalog!$A:$E,5,0),"")</f>
        <v>140000</v>
      </c>
    </row>
    <row r="16" spans="1:14" ht="15" customHeight="1" x14ac:dyDescent="0.35">
      <c r="A16" s="25" t="s">
        <v>159</v>
      </c>
      <c r="B16" s="51" t="s">
        <v>160</v>
      </c>
      <c r="C16" s="25" t="s">
        <v>86</v>
      </c>
      <c r="D16" s="25" t="s">
        <v>34</v>
      </c>
      <c r="E16" s="16" t="s">
        <v>35</v>
      </c>
      <c r="F16" s="16" t="s">
        <v>152</v>
      </c>
      <c r="G16" s="25" t="s">
        <v>153</v>
      </c>
      <c r="H16" s="25">
        <v>1</v>
      </c>
      <c r="I16" s="25">
        <v>12</v>
      </c>
      <c r="J16" s="48" t="s">
        <v>128</v>
      </c>
      <c r="K16" s="25" t="s">
        <v>129</v>
      </c>
      <c r="L16" s="52" t="str">
        <f t="shared" si="0"/>
        <v>AE_Mid-Market</v>
      </c>
      <c r="M16" s="53">
        <f>IFERROR(VLOOKUP(L16,plan_catalog!$A:$D,4,0),"")</f>
        <v>80000</v>
      </c>
      <c r="N16" s="53">
        <f>IFERROR(VLOOKUP(L16,plan_catalog!$A:$E,5,0),"")</f>
        <v>140000</v>
      </c>
    </row>
    <row r="17" spans="1:14" ht="15" customHeight="1" x14ac:dyDescent="0.35">
      <c r="A17" s="22" t="s">
        <v>161</v>
      </c>
      <c r="B17" s="47" t="s">
        <v>162</v>
      </c>
      <c r="C17" s="22" t="s">
        <v>90</v>
      </c>
      <c r="D17" s="22" t="s">
        <v>34</v>
      </c>
      <c r="E17" s="31" t="s">
        <v>35</v>
      </c>
      <c r="F17" s="31" t="s">
        <v>126</v>
      </c>
      <c r="G17" s="22" t="s">
        <v>127</v>
      </c>
      <c r="H17" s="22">
        <v>1</v>
      </c>
      <c r="I17" s="22">
        <v>12</v>
      </c>
      <c r="J17" s="48" t="s">
        <v>128</v>
      </c>
      <c r="K17" s="22" t="s">
        <v>129</v>
      </c>
      <c r="L17" s="49" t="str">
        <f t="shared" si="0"/>
        <v>CSM_Mid-Market</v>
      </c>
      <c r="M17" s="50">
        <f>IFERROR(VLOOKUP(L17,plan_catalog!$A:$D,4,0),"")</f>
        <v>70000</v>
      </c>
      <c r="N17" s="50">
        <f>IFERROR(VLOOKUP(L17,plan_catalog!$A:$E,5,0),"")</f>
        <v>105000</v>
      </c>
    </row>
    <row r="18" spans="1:14" ht="15" customHeight="1" x14ac:dyDescent="0.35">
      <c r="A18" s="25" t="s">
        <v>163</v>
      </c>
      <c r="B18" s="51" t="s">
        <v>164</v>
      </c>
      <c r="C18" s="25" t="s">
        <v>90</v>
      </c>
      <c r="D18" s="25" t="s">
        <v>34</v>
      </c>
      <c r="E18" s="16" t="s">
        <v>35</v>
      </c>
      <c r="F18" s="16" t="s">
        <v>152</v>
      </c>
      <c r="G18" s="25" t="s">
        <v>153</v>
      </c>
      <c r="H18" s="25">
        <v>1</v>
      </c>
      <c r="I18" s="25">
        <v>12</v>
      </c>
      <c r="J18" s="48" t="s">
        <v>128</v>
      </c>
      <c r="K18" s="25" t="s">
        <v>129</v>
      </c>
      <c r="L18" s="52" t="str">
        <f t="shared" si="0"/>
        <v>CSM_Mid-Market</v>
      </c>
      <c r="M18" s="53">
        <f>IFERROR(VLOOKUP(L18,plan_catalog!$A:$D,4,0),"")</f>
        <v>70000</v>
      </c>
      <c r="N18" s="53">
        <f>IFERROR(VLOOKUP(L18,plan_catalog!$A:$E,5,0),"")</f>
        <v>105000</v>
      </c>
    </row>
    <row r="19" spans="1:14" ht="15" customHeight="1" x14ac:dyDescent="0.35">
      <c r="A19" s="22" t="s">
        <v>165</v>
      </c>
      <c r="B19" s="47" t="s">
        <v>38</v>
      </c>
      <c r="C19" s="22" t="s">
        <v>22</v>
      </c>
      <c r="D19" s="22" t="s">
        <v>37</v>
      </c>
      <c r="E19" s="31" t="s">
        <v>83</v>
      </c>
      <c r="F19" s="31" t="s">
        <v>126</v>
      </c>
      <c r="G19" s="22" t="s">
        <v>127</v>
      </c>
      <c r="H19" s="22">
        <v>1</v>
      </c>
      <c r="I19" s="22">
        <v>12</v>
      </c>
      <c r="J19" s="48" t="s">
        <v>128</v>
      </c>
      <c r="K19" s="22" t="s">
        <v>129</v>
      </c>
      <c r="L19" s="49" t="str">
        <f t="shared" si="0"/>
        <v>Manager_All</v>
      </c>
      <c r="M19" s="50">
        <f>IFERROR(VLOOKUP(L19,plan_catalog!$A:$D,4,0),"")</f>
        <v>110000</v>
      </c>
      <c r="N19" s="50">
        <f>IFERROR(VLOOKUP(L19,plan_catalog!$A:$E,5,0),"")</f>
        <v>145000</v>
      </c>
    </row>
    <row r="20" spans="1:14" ht="15" customHeight="1" x14ac:dyDescent="0.35">
      <c r="A20" s="25" t="s">
        <v>166</v>
      </c>
      <c r="B20" s="51" t="s">
        <v>167</v>
      </c>
      <c r="C20" s="25" t="s">
        <v>81</v>
      </c>
      <c r="D20" s="25" t="s">
        <v>37</v>
      </c>
      <c r="E20" s="16" t="s">
        <v>38</v>
      </c>
      <c r="F20" s="16" t="s">
        <v>126</v>
      </c>
      <c r="G20" s="25" t="s">
        <v>127</v>
      </c>
      <c r="H20" s="25">
        <v>1</v>
      </c>
      <c r="I20" s="25">
        <v>12</v>
      </c>
      <c r="J20" s="48" t="s">
        <v>128</v>
      </c>
      <c r="K20" s="25" t="s">
        <v>129</v>
      </c>
      <c r="L20" s="52" t="str">
        <f t="shared" si="0"/>
        <v>SDR_SMB</v>
      </c>
      <c r="M20" s="53">
        <f>IFERROR(VLOOKUP(L20,plan_catalog!$A:$D,4,0),"")</f>
        <v>48000</v>
      </c>
      <c r="N20" s="53">
        <f>IFERROR(VLOOKUP(L20,plan_catalog!$A:$E,5,0),"")</f>
        <v>65000</v>
      </c>
    </row>
    <row r="21" spans="1:14" ht="15" customHeight="1" x14ac:dyDescent="0.35">
      <c r="A21" s="22" t="s">
        <v>168</v>
      </c>
      <c r="B21" s="47" t="s">
        <v>169</v>
      </c>
      <c r="C21" s="22" t="s">
        <v>81</v>
      </c>
      <c r="D21" s="22" t="s">
        <v>37</v>
      </c>
      <c r="E21" s="31" t="s">
        <v>38</v>
      </c>
      <c r="F21" s="31" t="s">
        <v>170</v>
      </c>
      <c r="G21" s="22" t="s">
        <v>171</v>
      </c>
      <c r="H21" s="22">
        <v>1</v>
      </c>
      <c r="I21" s="22">
        <v>12</v>
      </c>
      <c r="J21" s="48" t="s">
        <v>128</v>
      </c>
      <c r="K21" s="22" t="s">
        <v>129</v>
      </c>
      <c r="L21" s="49" t="str">
        <f t="shared" si="0"/>
        <v>SDR_SMB</v>
      </c>
      <c r="M21" s="50">
        <f>IFERROR(VLOOKUP(L21,plan_catalog!$A:$D,4,0),"")</f>
        <v>48000</v>
      </c>
      <c r="N21" s="50">
        <f>IFERROR(VLOOKUP(L21,plan_catalog!$A:$E,5,0),"")</f>
        <v>65000</v>
      </c>
    </row>
    <row r="22" spans="1:14" ht="15" customHeight="1" x14ac:dyDescent="0.35">
      <c r="A22" s="25" t="s">
        <v>172</v>
      </c>
      <c r="B22" s="51" t="s">
        <v>173</v>
      </c>
      <c r="C22" s="25" t="s">
        <v>86</v>
      </c>
      <c r="D22" s="25" t="s">
        <v>37</v>
      </c>
      <c r="E22" s="16" t="s">
        <v>38</v>
      </c>
      <c r="F22" s="16" t="s">
        <v>126</v>
      </c>
      <c r="G22" s="25" t="s">
        <v>127</v>
      </c>
      <c r="H22" s="25">
        <v>1</v>
      </c>
      <c r="I22" s="25">
        <v>6</v>
      </c>
      <c r="J22" s="54" t="s">
        <v>142</v>
      </c>
      <c r="K22" s="25" t="s">
        <v>129</v>
      </c>
      <c r="L22" s="52" t="str">
        <f t="shared" si="0"/>
        <v>AE_SMB</v>
      </c>
      <c r="M22" s="53">
        <f>IFERROR(VLOOKUP(L22,plan_catalog!$A:$D,4,0),"")</f>
        <v>65000</v>
      </c>
      <c r="N22" s="53">
        <f>IFERROR(VLOOKUP(L22,plan_catalog!$A:$E,5,0),"")</f>
        <v>95000</v>
      </c>
    </row>
    <row r="23" spans="1:14" ht="15" customHeight="1" x14ac:dyDescent="0.35">
      <c r="A23" s="22" t="s">
        <v>174</v>
      </c>
      <c r="B23" s="47" t="s">
        <v>175</v>
      </c>
      <c r="C23" s="22" t="s">
        <v>86</v>
      </c>
      <c r="D23" s="22" t="s">
        <v>37</v>
      </c>
      <c r="E23" s="31" t="s">
        <v>38</v>
      </c>
      <c r="F23" s="31" t="s">
        <v>176</v>
      </c>
      <c r="G23" s="22" t="s">
        <v>127</v>
      </c>
      <c r="H23" s="22">
        <v>7</v>
      </c>
      <c r="I23" s="22">
        <v>12</v>
      </c>
      <c r="J23" s="55" t="s">
        <v>145</v>
      </c>
      <c r="K23" s="22" t="s">
        <v>146</v>
      </c>
      <c r="L23" s="49" t="str">
        <f t="shared" si="0"/>
        <v>AE_SMB</v>
      </c>
      <c r="M23" s="50">
        <f>IFERROR(VLOOKUP(L23,plan_catalog!$A:$D,4,0),"")</f>
        <v>65000</v>
      </c>
      <c r="N23" s="50">
        <f>IFERROR(VLOOKUP(L23,plan_catalog!$A:$E,5,0),"")</f>
        <v>95000</v>
      </c>
    </row>
    <row r="24" spans="1:14" ht="15" customHeight="1" x14ac:dyDescent="0.35">
      <c r="A24" s="25" t="s">
        <v>177</v>
      </c>
      <c r="B24" s="51" t="s">
        <v>178</v>
      </c>
      <c r="C24" s="25" t="s">
        <v>86</v>
      </c>
      <c r="D24" s="25" t="s">
        <v>37</v>
      </c>
      <c r="E24" s="16" t="s">
        <v>38</v>
      </c>
      <c r="F24" s="16" t="s">
        <v>126</v>
      </c>
      <c r="G24" s="25" t="s">
        <v>127</v>
      </c>
      <c r="H24" s="25">
        <v>1</v>
      </c>
      <c r="I24" s="25">
        <v>12</v>
      </c>
      <c r="J24" s="48" t="s">
        <v>128</v>
      </c>
      <c r="K24" s="25" t="s">
        <v>129</v>
      </c>
      <c r="L24" s="52" t="str">
        <f t="shared" si="0"/>
        <v>AE_SMB</v>
      </c>
      <c r="M24" s="53">
        <f>IFERROR(VLOOKUP(L24,plan_catalog!$A:$D,4,0),"")</f>
        <v>65000</v>
      </c>
      <c r="N24" s="53">
        <f>IFERROR(VLOOKUP(L24,plan_catalog!$A:$E,5,0),"")</f>
        <v>95000</v>
      </c>
    </row>
    <row r="25" spans="1:14" ht="15" customHeight="1" x14ac:dyDescent="0.35">
      <c r="A25" s="22" t="s">
        <v>179</v>
      </c>
      <c r="B25" s="47" t="s">
        <v>180</v>
      </c>
      <c r="C25" s="22" t="s">
        <v>90</v>
      </c>
      <c r="D25" s="22" t="s">
        <v>37</v>
      </c>
      <c r="E25" s="31" t="s">
        <v>38</v>
      </c>
      <c r="F25" s="31" t="s">
        <v>126</v>
      </c>
      <c r="G25" s="22" t="s">
        <v>127</v>
      </c>
      <c r="H25" s="22">
        <v>1</v>
      </c>
      <c r="I25" s="22">
        <v>12</v>
      </c>
      <c r="J25" s="48" t="s">
        <v>128</v>
      </c>
      <c r="K25" s="22" t="s">
        <v>129</v>
      </c>
      <c r="L25" s="49" t="str">
        <f t="shared" si="0"/>
        <v>CSM_SMB</v>
      </c>
      <c r="M25" s="50">
        <f>IFERROR(VLOOKUP(L25,plan_catalog!$A:$D,4,0),"")</f>
        <v>60000</v>
      </c>
      <c r="N25" s="50">
        <f>IFERROR(VLOOKUP(L25,plan_catalog!$A:$E,5,0),"")</f>
        <v>88000</v>
      </c>
    </row>
    <row r="26" spans="1:14" ht="15" customHeight="1" x14ac:dyDescent="0.35">
      <c r="A26" s="56" t="s">
        <v>181</v>
      </c>
      <c r="B26" s="56" t="s">
        <v>182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7">
        <f>SUMPRODUCT((rep_roster!C5:C25&lt;&gt;"Manager")*IFERROR(rep_roster!M5:M25,0))</f>
        <v>0</v>
      </c>
      <c r="N26" s="57">
        <f>SUMPRODUCT((rep_roster!C5:C25&lt;&gt;"Manager")*IFERROR(rep_roster!N5:N25,0))</f>
        <v>0</v>
      </c>
    </row>
  </sheetData>
  <mergeCells count="2">
    <mergeCell ref="A1:N1"/>
    <mergeCell ref="A2:N2"/>
  </mergeCells>
  <dataValidations count="4">
    <dataValidation type="list" allowBlank="1" sqref="J5:J26" xr:uid="{00000000-0002-0000-0200-000000000000}">
      <formula1>"Active,Churned,Ramping"</formula1>
      <formula2>0</formula2>
    </dataValidation>
    <dataValidation type="list" allowBlank="1" sqref="C5:C26" xr:uid="{00000000-0002-0000-0200-000001000000}">
      <formula1>"SDR,AE,CSM,Manager"</formula1>
      <formula2>0</formula2>
    </dataValidation>
    <dataValidation type="list" allowBlank="1" sqref="D5:D26" xr:uid="{00000000-0002-0000-0200-000002000000}">
      <formula1>"Enterprise,Mid-Market,SMB,All"</formula1>
      <formula2>0</formula2>
    </dataValidation>
    <dataValidation type="list" allowBlank="1" sqref="K5:K26" xr:uid="{00000000-0002-0000-0200-000003000000}">
      <formula1>"Original,Replacement"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K18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0" customWidth="1"/>
    <col min="3" max="3" width="22" customWidth="1"/>
    <col min="4" max="4" width="10" customWidth="1"/>
    <col min="5" max="5" width="14" customWidth="1"/>
    <col min="6" max="6" width="10" customWidth="1"/>
    <col min="7" max="7" width="18" customWidth="1"/>
    <col min="8" max="8" width="22" customWidth="1"/>
    <col min="9" max="9" width="18" customWidth="1"/>
    <col min="10" max="10" width="10" customWidth="1"/>
    <col min="11" max="11" width="18" customWidth="1"/>
  </cols>
  <sheetData>
    <row r="1" spans="1:11" ht="30" customHeight="1" x14ac:dyDescent="0.35">
      <c r="A1" s="14" t="s">
        <v>183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9.5" customHeight="1" x14ac:dyDescent="0.35">
      <c r="A2" s="13" t="s">
        <v>184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6" customHeight="1" x14ac:dyDescent="0.35"/>
    <row r="4" spans="1:11" ht="15" customHeight="1" x14ac:dyDescent="0.35">
      <c r="A4" s="19" t="s">
        <v>185</v>
      </c>
      <c r="B4" s="19" t="s">
        <v>117</v>
      </c>
      <c r="C4" s="19" t="s">
        <v>186</v>
      </c>
      <c r="D4" s="19" t="s">
        <v>187</v>
      </c>
      <c r="E4" s="19" t="s">
        <v>188</v>
      </c>
      <c r="F4" s="19" t="s">
        <v>21</v>
      </c>
      <c r="G4" s="19" t="s">
        <v>70</v>
      </c>
      <c r="H4" s="19" t="s">
        <v>189</v>
      </c>
      <c r="I4" s="19" t="s">
        <v>190</v>
      </c>
      <c r="J4" s="19" t="s">
        <v>191</v>
      </c>
      <c r="K4" s="19" t="s">
        <v>192</v>
      </c>
    </row>
    <row r="5" spans="1:11" ht="15" customHeight="1" x14ac:dyDescent="0.35">
      <c r="A5" s="49" t="str">
        <f t="shared" ref="A5:A36" si="0">B5&amp;TEXT(D5,"00")</f>
        <v>R00201</v>
      </c>
      <c r="B5" s="22" t="s">
        <v>130</v>
      </c>
      <c r="C5" s="49" t="str">
        <f>VLOOKUP(B5,rep_roster!$A:$B,2,0)</f>
        <v>Marcus Williams</v>
      </c>
      <c r="D5" s="22">
        <v>1</v>
      </c>
      <c r="E5" s="58" t="str">
        <f>INDEX({"Jan","Feb","Mar","Apr","May","Jun","Jul","Aug","Sep","Oct","Nov","Dec"},D5)</f>
        <v>Jan</v>
      </c>
      <c r="F5" s="58" t="str">
        <f>VLOOKUP(B5,rep_roster!$A:$D,4,0)</f>
        <v>Enterprise</v>
      </c>
      <c r="G5" s="58" t="str">
        <f>VLOOKUP(B5,rep_roster!$A:$C,3,0)</f>
        <v>SDR</v>
      </c>
      <c r="H5" s="33">
        <v>8</v>
      </c>
      <c r="I5" s="33">
        <v>9</v>
      </c>
      <c r="J5" s="59">
        <f t="shared" ref="J5:J36" si="1">IF(H5&gt;0,I5/H5,0)</f>
        <v>1.125</v>
      </c>
      <c r="K5" s="60">
        <f t="shared" ref="K5:K36" si="2">I5-H5</f>
        <v>1</v>
      </c>
    </row>
    <row r="6" spans="1:11" ht="15" customHeight="1" x14ac:dyDescent="0.35">
      <c r="A6" s="52" t="str">
        <f t="shared" si="0"/>
        <v>R00202</v>
      </c>
      <c r="B6" s="25" t="s">
        <v>130</v>
      </c>
      <c r="C6" s="52" t="str">
        <f>VLOOKUP(B6,rep_roster!$A:$B,2,0)</f>
        <v>Marcus Williams</v>
      </c>
      <c r="D6" s="25">
        <v>2</v>
      </c>
      <c r="E6" s="61" t="str">
        <f>INDEX({"Jan","Feb","Mar","Apr","May","Jun","Jul","Aug","Sep","Oct","Nov","Dec"},D6)</f>
        <v>Feb</v>
      </c>
      <c r="F6" s="61" t="str">
        <f>VLOOKUP(B6,rep_roster!$A:$D,4,0)</f>
        <v>Enterprise</v>
      </c>
      <c r="G6" s="61" t="str">
        <f>VLOOKUP(B6,rep_roster!$A:$C,3,0)</f>
        <v>SDR</v>
      </c>
      <c r="H6" s="39">
        <v>8</v>
      </c>
      <c r="I6" s="39">
        <v>8</v>
      </c>
      <c r="J6" s="62">
        <f t="shared" si="1"/>
        <v>1</v>
      </c>
      <c r="K6" s="63">
        <f t="shared" si="2"/>
        <v>0</v>
      </c>
    </row>
    <row r="7" spans="1:11" ht="15" customHeight="1" x14ac:dyDescent="0.35">
      <c r="A7" s="49" t="str">
        <f t="shared" si="0"/>
        <v>R00203</v>
      </c>
      <c r="B7" s="22" t="s">
        <v>130</v>
      </c>
      <c r="C7" s="49" t="str">
        <f>VLOOKUP(B7,rep_roster!$A:$B,2,0)</f>
        <v>Marcus Williams</v>
      </c>
      <c r="D7" s="22">
        <v>3</v>
      </c>
      <c r="E7" s="58" t="str">
        <f>INDEX({"Jan","Feb","Mar","Apr","May","Jun","Jul","Aug","Sep","Oct","Nov","Dec"},D7)</f>
        <v>Mar</v>
      </c>
      <c r="F7" s="58" t="str">
        <f>VLOOKUP(B7,rep_roster!$A:$D,4,0)</f>
        <v>Enterprise</v>
      </c>
      <c r="G7" s="58" t="str">
        <f>VLOOKUP(B7,rep_roster!$A:$C,3,0)</f>
        <v>SDR</v>
      </c>
      <c r="H7" s="33">
        <v>8</v>
      </c>
      <c r="I7" s="33">
        <v>9</v>
      </c>
      <c r="J7" s="59">
        <f t="shared" si="1"/>
        <v>1.125</v>
      </c>
      <c r="K7" s="60">
        <f t="shared" si="2"/>
        <v>1</v>
      </c>
    </row>
    <row r="8" spans="1:11" ht="15" customHeight="1" x14ac:dyDescent="0.35">
      <c r="A8" s="52" t="str">
        <f t="shared" si="0"/>
        <v>R00204</v>
      </c>
      <c r="B8" s="25" t="s">
        <v>130</v>
      </c>
      <c r="C8" s="52" t="str">
        <f>VLOOKUP(B8,rep_roster!$A:$B,2,0)</f>
        <v>Marcus Williams</v>
      </c>
      <c r="D8" s="25">
        <v>4</v>
      </c>
      <c r="E8" s="61" t="str">
        <f>INDEX({"Jan","Feb","Mar","Apr","May","Jun","Jul","Aug","Sep","Oct","Nov","Dec"},D8)</f>
        <v>Apr</v>
      </c>
      <c r="F8" s="61" t="str">
        <f>VLOOKUP(B8,rep_roster!$A:$D,4,0)</f>
        <v>Enterprise</v>
      </c>
      <c r="G8" s="61" t="str">
        <f>VLOOKUP(B8,rep_roster!$A:$C,3,0)</f>
        <v>SDR</v>
      </c>
      <c r="H8" s="39">
        <v>8</v>
      </c>
      <c r="I8" s="39">
        <v>7</v>
      </c>
      <c r="J8" s="62">
        <f t="shared" si="1"/>
        <v>0.875</v>
      </c>
      <c r="K8" s="63">
        <f t="shared" si="2"/>
        <v>-1</v>
      </c>
    </row>
    <row r="9" spans="1:11" ht="15" customHeight="1" x14ac:dyDescent="0.35">
      <c r="A9" s="49" t="str">
        <f t="shared" si="0"/>
        <v>R00205</v>
      </c>
      <c r="B9" s="22" t="s">
        <v>130</v>
      </c>
      <c r="C9" s="49" t="str">
        <f>VLOOKUP(B9,rep_roster!$A:$B,2,0)</f>
        <v>Marcus Williams</v>
      </c>
      <c r="D9" s="22">
        <v>5</v>
      </c>
      <c r="E9" s="58" t="str">
        <f>INDEX({"Jan","Feb","Mar","Apr","May","Jun","Jul","Aug","Sep","Oct","Nov","Dec"},D9)</f>
        <v>May</v>
      </c>
      <c r="F9" s="58" t="str">
        <f>VLOOKUP(B9,rep_roster!$A:$D,4,0)</f>
        <v>Enterprise</v>
      </c>
      <c r="G9" s="58" t="str">
        <f>VLOOKUP(B9,rep_roster!$A:$C,3,0)</f>
        <v>SDR</v>
      </c>
      <c r="H9" s="33">
        <v>8</v>
      </c>
      <c r="I9" s="33">
        <v>8</v>
      </c>
      <c r="J9" s="59">
        <f t="shared" si="1"/>
        <v>1</v>
      </c>
      <c r="K9" s="60">
        <f t="shared" si="2"/>
        <v>0</v>
      </c>
    </row>
    <row r="10" spans="1:11" ht="15" customHeight="1" x14ac:dyDescent="0.35">
      <c r="A10" s="52" t="str">
        <f t="shared" si="0"/>
        <v>R00206</v>
      </c>
      <c r="B10" s="25" t="s">
        <v>130</v>
      </c>
      <c r="C10" s="52" t="str">
        <f>VLOOKUP(B10,rep_roster!$A:$B,2,0)</f>
        <v>Marcus Williams</v>
      </c>
      <c r="D10" s="25">
        <v>6</v>
      </c>
      <c r="E10" s="61" t="str">
        <f>INDEX({"Jan","Feb","Mar","Apr","May","Jun","Jul","Aug","Sep","Oct","Nov","Dec"},D10)</f>
        <v>Jun</v>
      </c>
      <c r="F10" s="61" t="str">
        <f>VLOOKUP(B10,rep_roster!$A:$D,4,0)</f>
        <v>Enterprise</v>
      </c>
      <c r="G10" s="61" t="str">
        <f>VLOOKUP(B10,rep_roster!$A:$C,3,0)</f>
        <v>SDR</v>
      </c>
      <c r="H10" s="39">
        <v>8</v>
      </c>
      <c r="I10" s="39">
        <v>7</v>
      </c>
      <c r="J10" s="62">
        <f t="shared" si="1"/>
        <v>0.875</v>
      </c>
      <c r="K10" s="63">
        <f t="shared" si="2"/>
        <v>-1</v>
      </c>
    </row>
    <row r="11" spans="1:11" ht="15" customHeight="1" x14ac:dyDescent="0.35">
      <c r="A11" s="49" t="str">
        <f t="shared" si="0"/>
        <v>R00207</v>
      </c>
      <c r="B11" s="22" t="s">
        <v>130</v>
      </c>
      <c r="C11" s="49" t="str">
        <f>VLOOKUP(B11,rep_roster!$A:$B,2,0)</f>
        <v>Marcus Williams</v>
      </c>
      <c r="D11" s="22">
        <v>7</v>
      </c>
      <c r="E11" s="58" t="str">
        <f>INDEX({"Jan","Feb","Mar","Apr","May","Jun","Jul","Aug","Sep","Oct","Nov","Dec"},D11)</f>
        <v>Jul</v>
      </c>
      <c r="F11" s="58" t="str">
        <f>VLOOKUP(B11,rep_roster!$A:$D,4,0)</f>
        <v>Enterprise</v>
      </c>
      <c r="G11" s="58" t="str">
        <f>VLOOKUP(B11,rep_roster!$A:$C,3,0)</f>
        <v>SDR</v>
      </c>
      <c r="H11" s="33">
        <v>8</v>
      </c>
      <c r="I11" s="33">
        <v>5</v>
      </c>
      <c r="J11" s="59">
        <f t="shared" si="1"/>
        <v>0.625</v>
      </c>
      <c r="K11" s="60">
        <f t="shared" si="2"/>
        <v>-3</v>
      </c>
    </row>
    <row r="12" spans="1:11" ht="15" customHeight="1" x14ac:dyDescent="0.35">
      <c r="A12" s="52" t="str">
        <f t="shared" si="0"/>
        <v>R00208</v>
      </c>
      <c r="B12" s="25" t="s">
        <v>130</v>
      </c>
      <c r="C12" s="52" t="str">
        <f>VLOOKUP(B12,rep_roster!$A:$B,2,0)</f>
        <v>Marcus Williams</v>
      </c>
      <c r="D12" s="25">
        <v>8</v>
      </c>
      <c r="E12" s="61" t="str">
        <f>INDEX({"Jan","Feb","Mar","Apr","May","Jun","Jul","Aug","Sep","Oct","Nov","Dec"},D12)</f>
        <v>Aug</v>
      </c>
      <c r="F12" s="61" t="str">
        <f>VLOOKUP(B12,rep_roster!$A:$D,4,0)</f>
        <v>Enterprise</v>
      </c>
      <c r="G12" s="61" t="str">
        <f>VLOOKUP(B12,rep_roster!$A:$C,3,0)</f>
        <v>SDR</v>
      </c>
      <c r="H12" s="39">
        <v>8</v>
      </c>
      <c r="I12" s="39">
        <v>4</v>
      </c>
      <c r="J12" s="62">
        <f t="shared" si="1"/>
        <v>0.5</v>
      </c>
      <c r="K12" s="63">
        <f t="shared" si="2"/>
        <v>-4</v>
      </c>
    </row>
    <row r="13" spans="1:11" ht="15" customHeight="1" x14ac:dyDescent="0.35">
      <c r="A13" s="49" t="str">
        <f t="shared" si="0"/>
        <v>R00209</v>
      </c>
      <c r="B13" s="22" t="s">
        <v>130</v>
      </c>
      <c r="C13" s="49" t="str">
        <f>VLOOKUP(B13,rep_roster!$A:$B,2,0)</f>
        <v>Marcus Williams</v>
      </c>
      <c r="D13" s="22">
        <v>9</v>
      </c>
      <c r="E13" s="58" t="str">
        <f>INDEX({"Jan","Feb","Mar","Apr","May","Jun","Jul","Aug","Sep","Oct","Nov","Dec"},D13)</f>
        <v>Sep</v>
      </c>
      <c r="F13" s="58" t="str">
        <f>VLOOKUP(B13,rep_roster!$A:$D,4,0)</f>
        <v>Enterprise</v>
      </c>
      <c r="G13" s="58" t="str">
        <f>VLOOKUP(B13,rep_roster!$A:$C,3,0)</f>
        <v>SDR</v>
      </c>
      <c r="H13" s="33">
        <v>8</v>
      </c>
      <c r="I13" s="33">
        <v>6</v>
      </c>
      <c r="J13" s="59">
        <f t="shared" si="1"/>
        <v>0.75</v>
      </c>
      <c r="K13" s="60">
        <f t="shared" si="2"/>
        <v>-2</v>
      </c>
    </row>
    <row r="14" spans="1:11" ht="15" customHeight="1" x14ac:dyDescent="0.35">
      <c r="A14" s="52" t="str">
        <f t="shared" si="0"/>
        <v>R00210</v>
      </c>
      <c r="B14" s="25" t="s">
        <v>130</v>
      </c>
      <c r="C14" s="52" t="str">
        <f>VLOOKUP(B14,rep_roster!$A:$B,2,0)</f>
        <v>Marcus Williams</v>
      </c>
      <c r="D14" s="25">
        <v>10</v>
      </c>
      <c r="E14" s="61" t="str">
        <f>INDEX({"Jan","Feb","Mar","Apr","May","Jun","Jul","Aug","Sep","Oct","Nov","Dec"},D14)</f>
        <v>Oct</v>
      </c>
      <c r="F14" s="61" t="str">
        <f>VLOOKUP(B14,rep_roster!$A:$D,4,0)</f>
        <v>Enterprise</v>
      </c>
      <c r="G14" s="61" t="str">
        <f>VLOOKUP(B14,rep_roster!$A:$C,3,0)</f>
        <v>SDR</v>
      </c>
      <c r="H14" s="39">
        <v>8</v>
      </c>
      <c r="I14" s="39">
        <v>5</v>
      </c>
      <c r="J14" s="62">
        <f t="shared" si="1"/>
        <v>0.625</v>
      </c>
      <c r="K14" s="63">
        <f t="shared" si="2"/>
        <v>-3</v>
      </c>
    </row>
    <row r="15" spans="1:11" ht="15" customHeight="1" x14ac:dyDescent="0.35">
      <c r="A15" s="49" t="str">
        <f t="shared" si="0"/>
        <v>R00211</v>
      </c>
      <c r="B15" s="22" t="s">
        <v>130</v>
      </c>
      <c r="C15" s="49" t="str">
        <f>VLOOKUP(B15,rep_roster!$A:$B,2,0)</f>
        <v>Marcus Williams</v>
      </c>
      <c r="D15" s="22">
        <v>11</v>
      </c>
      <c r="E15" s="58" t="str">
        <f>INDEX({"Jan","Feb","Mar","Apr","May","Jun","Jul","Aug","Sep","Oct","Nov","Dec"},D15)</f>
        <v>Nov</v>
      </c>
      <c r="F15" s="58" t="str">
        <f>VLOOKUP(B15,rep_roster!$A:$D,4,0)</f>
        <v>Enterprise</v>
      </c>
      <c r="G15" s="58" t="str">
        <f>VLOOKUP(B15,rep_roster!$A:$C,3,0)</f>
        <v>SDR</v>
      </c>
      <c r="H15" s="33">
        <v>8</v>
      </c>
      <c r="I15" s="33">
        <v>6</v>
      </c>
      <c r="J15" s="59">
        <f t="shared" si="1"/>
        <v>0.75</v>
      </c>
      <c r="K15" s="60">
        <f t="shared" si="2"/>
        <v>-2</v>
      </c>
    </row>
    <row r="16" spans="1:11" ht="15" customHeight="1" x14ac:dyDescent="0.35">
      <c r="A16" s="52" t="str">
        <f t="shared" si="0"/>
        <v>R00212</v>
      </c>
      <c r="B16" s="25" t="s">
        <v>130</v>
      </c>
      <c r="C16" s="52" t="str">
        <f>VLOOKUP(B16,rep_roster!$A:$B,2,0)</f>
        <v>Marcus Williams</v>
      </c>
      <c r="D16" s="25">
        <v>12</v>
      </c>
      <c r="E16" s="61" t="str">
        <f>INDEX({"Jan","Feb","Mar","Apr","May","Jun","Jul","Aug","Sep","Oct","Nov","Dec"},D16)</f>
        <v>Dec</v>
      </c>
      <c r="F16" s="61" t="str">
        <f>VLOOKUP(B16,rep_roster!$A:$D,4,0)</f>
        <v>Enterprise</v>
      </c>
      <c r="G16" s="61" t="str">
        <f>VLOOKUP(B16,rep_roster!$A:$C,3,0)</f>
        <v>SDR</v>
      </c>
      <c r="H16" s="39">
        <v>8</v>
      </c>
      <c r="I16" s="39">
        <v>7</v>
      </c>
      <c r="J16" s="62">
        <f t="shared" si="1"/>
        <v>0.875</v>
      </c>
      <c r="K16" s="63">
        <f t="shared" si="2"/>
        <v>-1</v>
      </c>
    </row>
    <row r="17" spans="1:11" ht="15" customHeight="1" x14ac:dyDescent="0.35">
      <c r="A17" s="49" t="str">
        <f t="shared" si="0"/>
        <v>R00301</v>
      </c>
      <c r="B17" s="22" t="s">
        <v>134</v>
      </c>
      <c r="C17" s="49" t="str">
        <f>VLOOKUP(B17,rep_roster!$A:$B,2,0)</f>
        <v>James Harrington</v>
      </c>
      <c r="D17" s="22">
        <v>1</v>
      </c>
      <c r="E17" s="58" t="str">
        <f>INDEX({"Jan","Feb","Mar","Apr","May","Jun","Jul","Aug","Sep","Oct","Nov","Dec"},D17)</f>
        <v>Jan</v>
      </c>
      <c r="F17" s="58" t="str">
        <f>VLOOKUP(B17,rep_roster!$A:$D,4,0)</f>
        <v>Enterprise</v>
      </c>
      <c r="G17" s="58" t="str">
        <f>VLOOKUP(B17,rep_roster!$A:$C,3,0)</f>
        <v>AE</v>
      </c>
      <c r="H17" s="32">
        <v>75000</v>
      </c>
      <c r="I17" s="32">
        <v>95000</v>
      </c>
      <c r="J17" s="59">
        <f t="shared" si="1"/>
        <v>1.2666666666666666</v>
      </c>
      <c r="K17" s="50">
        <f t="shared" si="2"/>
        <v>20000</v>
      </c>
    </row>
    <row r="18" spans="1:11" ht="15" customHeight="1" x14ac:dyDescent="0.35">
      <c r="A18" s="52" t="str">
        <f t="shared" si="0"/>
        <v>R00302</v>
      </c>
      <c r="B18" s="25" t="s">
        <v>134</v>
      </c>
      <c r="C18" s="52" t="str">
        <f>VLOOKUP(B18,rep_roster!$A:$B,2,0)</f>
        <v>James Harrington</v>
      </c>
      <c r="D18" s="25">
        <v>2</v>
      </c>
      <c r="E18" s="61" t="str">
        <f>INDEX({"Jan","Feb","Mar","Apr","May","Jun","Jul","Aug","Sep","Oct","Nov","Dec"},D18)</f>
        <v>Feb</v>
      </c>
      <c r="F18" s="61" t="str">
        <f>VLOOKUP(B18,rep_roster!$A:$D,4,0)</f>
        <v>Enterprise</v>
      </c>
      <c r="G18" s="61" t="str">
        <f>VLOOKUP(B18,rep_roster!$A:$C,3,0)</f>
        <v>AE</v>
      </c>
      <c r="H18" s="38">
        <v>75000</v>
      </c>
      <c r="I18" s="38">
        <v>88000</v>
      </c>
      <c r="J18" s="62">
        <f t="shared" si="1"/>
        <v>1.1733333333333333</v>
      </c>
      <c r="K18" s="53">
        <f t="shared" si="2"/>
        <v>13000</v>
      </c>
    </row>
    <row r="19" spans="1:11" ht="15" customHeight="1" x14ac:dyDescent="0.35">
      <c r="A19" s="49" t="str">
        <f t="shared" si="0"/>
        <v>R00303</v>
      </c>
      <c r="B19" s="22" t="s">
        <v>134</v>
      </c>
      <c r="C19" s="49" t="str">
        <f>VLOOKUP(B19,rep_roster!$A:$B,2,0)</f>
        <v>James Harrington</v>
      </c>
      <c r="D19" s="22">
        <v>3</v>
      </c>
      <c r="E19" s="58" t="str">
        <f>INDEX({"Jan","Feb","Mar","Apr","May","Jun","Jul","Aug","Sep","Oct","Nov","Dec"},D19)</f>
        <v>Mar</v>
      </c>
      <c r="F19" s="58" t="str">
        <f>VLOOKUP(B19,rep_roster!$A:$D,4,0)</f>
        <v>Enterprise</v>
      </c>
      <c r="G19" s="58" t="str">
        <f>VLOOKUP(B19,rep_roster!$A:$C,3,0)</f>
        <v>AE</v>
      </c>
      <c r="H19" s="32">
        <v>75000</v>
      </c>
      <c r="I19" s="32">
        <v>105000</v>
      </c>
      <c r="J19" s="59">
        <f t="shared" si="1"/>
        <v>1.4</v>
      </c>
      <c r="K19" s="50">
        <f t="shared" si="2"/>
        <v>30000</v>
      </c>
    </row>
    <row r="20" spans="1:11" ht="15" customHeight="1" x14ac:dyDescent="0.35">
      <c r="A20" s="52" t="str">
        <f t="shared" si="0"/>
        <v>R00304</v>
      </c>
      <c r="B20" s="25" t="s">
        <v>134</v>
      </c>
      <c r="C20" s="52" t="str">
        <f>VLOOKUP(B20,rep_roster!$A:$B,2,0)</f>
        <v>James Harrington</v>
      </c>
      <c r="D20" s="25">
        <v>4</v>
      </c>
      <c r="E20" s="61" t="str">
        <f>INDEX({"Jan","Feb","Mar","Apr","May","Jun","Jul","Aug","Sep","Oct","Nov","Dec"},D20)</f>
        <v>Apr</v>
      </c>
      <c r="F20" s="61" t="str">
        <f>VLOOKUP(B20,rep_roster!$A:$D,4,0)</f>
        <v>Enterprise</v>
      </c>
      <c r="G20" s="61" t="str">
        <f>VLOOKUP(B20,rep_roster!$A:$C,3,0)</f>
        <v>AE</v>
      </c>
      <c r="H20" s="38">
        <v>75000</v>
      </c>
      <c r="I20" s="38">
        <v>82000</v>
      </c>
      <c r="J20" s="62">
        <f t="shared" si="1"/>
        <v>1.0933333333333333</v>
      </c>
      <c r="K20" s="53">
        <f t="shared" si="2"/>
        <v>7000</v>
      </c>
    </row>
    <row r="21" spans="1:11" ht="15" customHeight="1" x14ac:dyDescent="0.35">
      <c r="A21" s="49" t="str">
        <f t="shared" si="0"/>
        <v>R00305</v>
      </c>
      <c r="B21" s="22" t="s">
        <v>134</v>
      </c>
      <c r="C21" s="49" t="str">
        <f>VLOOKUP(B21,rep_roster!$A:$B,2,0)</f>
        <v>James Harrington</v>
      </c>
      <c r="D21" s="22">
        <v>5</v>
      </c>
      <c r="E21" s="58" t="str">
        <f>INDEX({"Jan","Feb","Mar","Apr","May","Jun","Jul","Aug","Sep","Oct","Nov","Dec"},D21)</f>
        <v>May</v>
      </c>
      <c r="F21" s="58" t="str">
        <f>VLOOKUP(B21,rep_roster!$A:$D,4,0)</f>
        <v>Enterprise</v>
      </c>
      <c r="G21" s="58" t="str">
        <f>VLOOKUP(B21,rep_roster!$A:$C,3,0)</f>
        <v>AE</v>
      </c>
      <c r="H21" s="32">
        <v>75000</v>
      </c>
      <c r="I21" s="32">
        <v>79000</v>
      </c>
      <c r="J21" s="59">
        <f t="shared" si="1"/>
        <v>1.0533333333333332</v>
      </c>
      <c r="K21" s="50">
        <f t="shared" si="2"/>
        <v>4000</v>
      </c>
    </row>
    <row r="22" spans="1:11" ht="15" customHeight="1" x14ac:dyDescent="0.35">
      <c r="A22" s="52" t="str">
        <f t="shared" si="0"/>
        <v>R00306</v>
      </c>
      <c r="B22" s="25" t="s">
        <v>134</v>
      </c>
      <c r="C22" s="52" t="str">
        <f>VLOOKUP(B22,rep_roster!$A:$B,2,0)</f>
        <v>James Harrington</v>
      </c>
      <c r="D22" s="25">
        <v>6</v>
      </c>
      <c r="E22" s="61" t="str">
        <f>INDEX({"Jan","Feb","Mar","Apr","May","Jun","Jul","Aug","Sep","Oct","Nov","Dec"},D22)</f>
        <v>Jun</v>
      </c>
      <c r="F22" s="61" t="str">
        <f>VLOOKUP(B22,rep_roster!$A:$D,4,0)</f>
        <v>Enterprise</v>
      </c>
      <c r="G22" s="61" t="str">
        <f>VLOOKUP(B22,rep_roster!$A:$C,3,0)</f>
        <v>AE</v>
      </c>
      <c r="H22" s="38">
        <v>75000</v>
      </c>
      <c r="I22" s="38">
        <v>86000</v>
      </c>
      <c r="J22" s="62">
        <f t="shared" si="1"/>
        <v>1.1466666666666667</v>
      </c>
      <c r="K22" s="53">
        <f t="shared" si="2"/>
        <v>11000</v>
      </c>
    </row>
    <row r="23" spans="1:11" ht="15" customHeight="1" x14ac:dyDescent="0.35">
      <c r="A23" s="49" t="str">
        <f t="shared" si="0"/>
        <v>R00307</v>
      </c>
      <c r="B23" s="22" t="s">
        <v>134</v>
      </c>
      <c r="C23" s="49" t="str">
        <f>VLOOKUP(B23,rep_roster!$A:$B,2,0)</f>
        <v>James Harrington</v>
      </c>
      <c r="D23" s="22">
        <v>7</v>
      </c>
      <c r="E23" s="58" t="str">
        <f>INDEX({"Jan","Feb","Mar","Apr","May","Jun","Jul","Aug","Sep","Oct","Nov","Dec"},D23)</f>
        <v>Jul</v>
      </c>
      <c r="F23" s="58" t="str">
        <f>VLOOKUP(B23,rep_roster!$A:$D,4,0)</f>
        <v>Enterprise</v>
      </c>
      <c r="G23" s="58" t="str">
        <f>VLOOKUP(B23,rep_roster!$A:$C,3,0)</f>
        <v>AE</v>
      </c>
      <c r="H23" s="32">
        <v>75000</v>
      </c>
      <c r="I23" s="32">
        <v>65000</v>
      </c>
      <c r="J23" s="59">
        <f t="shared" si="1"/>
        <v>0.8666666666666667</v>
      </c>
      <c r="K23" s="50">
        <f t="shared" si="2"/>
        <v>-10000</v>
      </c>
    </row>
    <row r="24" spans="1:11" ht="15" customHeight="1" x14ac:dyDescent="0.35">
      <c r="A24" s="52" t="str">
        <f t="shared" si="0"/>
        <v>R00308</v>
      </c>
      <c r="B24" s="25" t="s">
        <v>134</v>
      </c>
      <c r="C24" s="52" t="str">
        <f>VLOOKUP(B24,rep_roster!$A:$B,2,0)</f>
        <v>James Harrington</v>
      </c>
      <c r="D24" s="25">
        <v>8</v>
      </c>
      <c r="E24" s="61" t="str">
        <f>INDEX({"Jan","Feb","Mar","Apr","May","Jun","Jul","Aug","Sep","Oct","Nov","Dec"},D24)</f>
        <v>Aug</v>
      </c>
      <c r="F24" s="61" t="str">
        <f>VLOOKUP(B24,rep_roster!$A:$D,4,0)</f>
        <v>Enterprise</v>
      </c>
      <c r="G24" s="61" t="str">
        <f>VLOOKUP(B24,rep_roster!$A:$C,3,0)</f>
        <v>AE</v>
      </c>
      <c r="H24" s="38">
        <v>75000</v>
      </c>
      <c r="I24" s="38">
        <v>58000</v>
      </c>
      <c r="J24" s="62">
        <f t="shared" si="1"/>
        <v>0.77333333333333332</v>
      </c>
      <c r="K24" s="53">
        <f t="shared" si="2"/>
        <v>-17000</v>
      </c>
    </row>
    <row r="25" spans="1:11" ht="15" customHeight="1" x14ac:dyDescent="0.35">
      <c r="A25" s="49" t="str">
        <f t="shared" si="0"/>
        <v>R00309</v>
      </c>
      <c r="B25" s="22" t="s">
        <v>134</v>
      </c>
      <c r="C25" s="49" t="str">
        <f>VLOOKUP(B25,rep_roster!$A:$B,2,0)</f>
        <v>James Harrington</v>
      </c>
      <c r="D25" s="22">
        <v>9</v>
      </c>
      <c r="E25" s="58" t="str">
        <f>INDEX({"Jan","Feb","Mar","Apr","May","Jun","Jul","Aug","Sep","Oct","Nov","Dec"},D25)</f>
        <v>Sep</v>
      </c>
      <c r="F25" s="58" t="str">
        <f>VLOOKUP(B25,rep_roster!$A:$D,4,0)</f>
        <v>Enterprise</v>
      </c>
      <c r="G25" s="58" t="str">
        <f>VLOOKUP(B25,rep_roster!$A:$C,3,0)</f>
        <v>AE</v>
      </c>
      <c r="H25" s="32">
        <v>75000</v>
      </c>
      <c r="I25" s="32">
        <v>70000</v>
      </c>
      <c r="J25" s="59">
        <f t="shared" si="1"/>
        <v>0.93333333333333335</v>
      </c>
      <c r="K25" s="50">
        <f t="shared" si="2"/>
        <v>-5000</v>
      </c>
    </row>
    <row r="26" spans="1:11" ht="15" customHeight="1" x14ac:dyDescent="0.35">
      <c r="A26" s="52" t="str">
        <f t="shared" si="0"/>
        <v>R00310</v>
      </c>
      <c r="B26" s="25" t="s">
        <v>134</v>
      </c>
      <c r="C26" s="52" t="str">
        <f>VLOOKUP(B26,rep_roster!$A:$B,2,0)</f>
        <v>James Harrington</v>
      </c>
      <c r="D26" s="25">
        <v>10</v>
      </c>
      <c r="E26" s="61" t="str">
        <f>INDEX({"Jan","Feb","Mar","Apr","May","Jun","Jul","Aug","Sep","Oct","Nov","Dec"},D26)</f>
        <v>Oct</v>
      </c>
      <c r="F26" s="61" t="str">
        <f>VLOOKUP(B26,rep_roster!$A:$D,4,0)</f>
        <v>Enterprise</v>
      </c>
      <c r="G26" s="61" t="str">
        <f>VLOOKUP(B26,rep_roster!$A:$C,3,0)</f>
        <v>AE</v>
      </c>
      <c r="H26" s="38">
        <v>75000</v>
      </c>
      <c r="I26" s="38">
        <v>55000</v>
      </c>
      <c r="J26" s="62">
        <f t="shared" si="1"/>
        <v>0.73333333333333328</v>
      </c>
      <c r="K26" s="53">
        <f t="shared" si="2"/>
        <v>-20000</v>
      </c>
    </row>
    <row r="27" spans="1:11" ht="15" customHeight="1" x14ac:dyDescent="0.35">
      <c r="A27" s="49" t="str">
        <f t="shared" si="0"/>
        <v>R00311</v>
      </c>
      <c r="B27" s="22" t="s">
        <v>134</v>
      </c>
      <c r="C27" s="49" t="str">
        <f>VLOOKUP(B27,rep_roster!$A:$B,2,0)</f>
        <v>James Harrington</v>
      </c>
      <c r="D27" s="22">
        <v>11</v>
      </c>
      <c r="E27" s="58" t="str">
        <f>INDEX({"Jan","Feb","Mar","Apr","May","Jun","Jul","Aug","Sep","Oct","Nov","Dec"},D27)</f>
        <v>Nov</v>
      </c>
      <c r="F27" s="58" t="str">
        <f>VLOOKUP(B27,rep_roster!$A:$D,4,0)</f>
        <v>Enterprise</v>
      </c>
      <c r="G27" s="58" t="str">
        <f>VLOOKUP(B27,rep_roster!$A:$C,3,0)</f>
        <v>AE</v>
      </c>
      <c r="H27" s="32">
        <v>75000</v>
      </c>
      <c r="I27" s="32">
        <v>62000</v>
      </c>
      <c r="J27" s="59">
        <f t="shared" si="1"/>
        <v>0.82666666666666666</v>
      </c>
      <c r="K27" s="50">
        <f t="shared" si="2"/>
        <v>-13000</v>
      </c>
    </row>
    <row r="28" spans="1:11" ht="15" customHeight="1" x14ac:dyDescent="0.35">
      <c r="A28" s="52" t="str">
        <f t="shared" si="0"/>
        <v>R00312</v>
      </c>
      <c r="B28" s="25" t="s">
        <v>134</v>
      </c>
      <c r="C28" s="52" t="str">
        <f>VLOOKUP(B28,rep_roster!$A:$B,2,0)</f>
        <v>James Harrington</v>
      </c>
      <c r="D28" s="25">
        <v>12</v>
      </c>
      <c r="E28" s="61" t="str">
        <f>INDEX({"Jan","Feb","Mar","Apr","May","Jun","Jul","Aug","Sep","Oct","Nov","Dec"},D28)</f>
        <v>Dec</v>
      </c>
      <c r="F28" s="61" t="str">
        <f>VLOOKUP(B28,rep_roster!$A:$D,4,0)</f>
        <v>Enterprise</v>
      </c>
      <c r="G28" s="61" t="str">
        <f>VLOOKUP(B28,rep_roster!$A:$C,3,0)</f>
        <v>AE</v>
      </c>
      <c r="H28" s="38">
        <v>75000</v>
      </c>
      <c r="I28" s="38">
        <v>78000</v>
      </c>
      <c r="J28" s="62">
        <f t="shared" si="1"/>
        <v>1.04</v>
      </c>
      <c r="K28" s="53">
        <f t="shared" si="2"/>
        <v>3000</v>
      </c>
    </row>
    <row r="29" spans="1:11" ht="15" customHeight="1" x14ac:dyDescent="0.35">
      <c r="A29" s="49" t="str">
        <f t="shared" si="0"/>
        <v>R00401</v>
      </c>
      <c r="B29" s="22" t="s">
        <v>136</v>
      </c>
      <c r="C29" s="49" t="str">
        <f>VLOOKUP(B29,rep_roster!$A:$B,2,0)</f>
        <v>Olivia Brooks</v>
      </c>
      <c r="D29" s="22">
        <v>1</v>
      </c>
      <c r="E29" s="58" t="str">
        <f>INDEX({"Jan","Feb","Mar","Apr","May","Jun","Jul","Aug","Sep","Oct","Nov","Dec"},D29)</f>
        <v>Jan</v>
      </c>
      <c r="F29" s="58" t="str">
        <f>VLOOKUP(B29,rep_roster!$A:$D,4,0)</f>
        <v>Enterprise</v>
      </c>
      <c r="G29" s="58" t="str">
        <f>VLOOKUP(B29,rep_roster!$A:$C,3,0)</f>
        <v>AE</v>
      </c>
      <c r="H29" s="32">
        <v>75000</v>
      </c>
      <c r="I29" s="32">
        <v>102000</v>
      </c>
      <c r="J29" s="59">
        <f t="shared" si="1"/>
        <v>1.36</v>
      </c>
      <c r="K29" s="50">
        <f t="shared" si="2"/>
        <v>27000</v>
      </c>
    </row>
    <row r="30" spans="1:11" ht="15" customHeight="1" x14ac:dyDescent="0.35">
      <c r="A30" s="52" t="str">
        <f t="shared" si="0"/>
        <v>R00402</v>
      </c>
      <c r="B30" s="25" t="s">
        <v>136</v>
      </c>
      <c r="C30" s="52" t="str">
        <f>VLOOKUP(B30,rep_roster!$A:$B,2,0)</f>
        <v>Olivia Brooks</v>
      </c>
      <c r="D30" s="25">
        <v>2</v>
      </c>
      <c r="E30" s="61" t="str">
        <f>INDEX({"Jan","Feb","Mar","Apr","May","Jun","Jul","Aug","Sep","Oct","Nov","Dec"},D30)</f>
        <v>Feb</v>
      </c>
      <c r="F30" s="61" t="str">
        <f>VLOOKUP(B30,rep_roster!$A:$D,4,0)</f>
        <v>Enterprise</v>
      </c>
      <c r="G30" s="61" t="str">
        <f>VLOOKUP(B30,rep_roster!$A:$C,3,0)</f>
        <v>AE</v>
      </c>
      <c r="H30" s="38">
        <v>75000</v>
      </c>
      <c r="I30" s="38">
        <v>95000</v>
      </c>
      <c r="J30" s="62">
        <f t="shared" si="1"/>
        <v>1.2666666666666666</v>
      </c>
      <c r="K30" s="53">
        <f t="shared" si="2"/>
        <v>20000</v>
      </c>
    </row>
    <row r="31" spans="1:11" ht="15" customHeight="1" x14ac:dyDescent="0.35">
      <c r="A31" s="49" t="str">
        <f t="shared" si="0"/>
        <v>R00403</v>
      </c>
      <c r="B31" s="22" t="s">
        <v>136</v>
      </c>
      <c r="C31" s="49" t="str">
        <f>VLOOKUP(B31,rep_roster!$A:$B,2,0)</f>
        <v>Olivia Brooks</v>
      </c>
      <c r="D31" s="22">
        <v>3</v>
      </c>
      <c r="E31" s="58" t="str">
        <f>INDEX({"Jan","Feb","Mar","Apr","May","Jun","Jul","Aug","Sep","Oct","Nov","Dec"},D31)</f>
        <v>Mar</v>
      </c>
      <c r="F31" s="58" t="str">
        <f>VLOOKUP(B31,rep_roster!$A:$D,4,0)</f>
        <v>Enterprise</v>
      </c>
      <c r="G31" s="58" t="str">
        <f>VLOOKUP(B31,rep_roster!$A:$C,3,0)</f>
        <v>AE</v>
      </c>
      <c r="H31" s="32">
        <v>75000</v>
      </c>
      <c r="I31" s="32">
        <v>115000</v>
      </c>
      <c r="J31" s="59">
        <f t="shared" si="1"/>
        <v>1.5333333333333334</v>
      </c>
      <c r="K31" s="50">
        <f t="shared" si="2"/>
        <v>40000</v>
      </c>
    </row>
    <row r="32" spans="1:11" ht="15" customHeight="1" x14ac:dyDescent="0.35">
      <c r="A32" s="52" t="str">
        <f t="shared" si="0"/>
        <v>R00404</v>
      </c>
      <c r="B32" s="25" t="s">
        <v>136</v>
      </c>
      <c r="C32" s="52" t="str">
        <f>VLOOKUP(B32,rep_roster!$A:$B,2,0)</f>
        <v>Olivia Brooks</v>
      </c>
      <c r="D32" s="25">
        <v>4</v>
      </c>
      <c r="E32" s="61" t="str">
        <f>INDEX({"Jan","Feb","Mar","Apr","May","Jun","Jul","Aug","Sep","Oct","Nov","Dec"},D32)</f>
        <v>Apr</v>
      </c>
      <c r="F32" s="61" t="str">
        <f>VLOOKUP(B32,rep_roster!$A:$D,4,0)</f>
        <v>Enterprise</v>
      </c>
      <c r="G32" s="61" t="str">
        <f>VLOOKUP(B32,rep_roster!$A:$C,3,0)</f>
        <v>AE</v>
      </c>
      <c r="H32" s="38">
        <v>75000</v>
      </c>
      <c r="I32" s="38">
        <v>88000</v>
      </c>
      <c r="J32" s="62">
        <f t="shared" si="1"/>
        <v>1.1733333333333333</v>
      </c>
      <c r="K32" s="53">
        <f t="shared" si="2"/>
        <v>13000</v>
      </c>
    </row>
    <row r="33" spans="1:11" ht="15" customHeight="1" x14ac:dyDescent="0.35">
      <c r="A33" s="49" t="str">
        <f t="shared" si="0"/>
        <v>R00405</v>
      </c>
      <c r="B33" s="22" t="s">
        <v>136</v>
      </c>
      <c r="C33" s="49" t="str">
        <f>VLOOKUP(B33,rep_roster!$A:$B,2,0)</f>
        <v>Olivia Brooks</v>
      </c>
      <c r="D33" s="22">
        <v>5</v>
      </c>
      <c r="E33" s="58" t="str">
        <f>INDEX({"Jan","Feb","Mar","Apr","May","Jun","Jul","Aug","Sep","Oct","Nov","Dec"},D33)</f>
        <v>May</v>
      </c>
      <c r="F33" s="58" t="str">
        <f>VLOOKUP(B33,rep_roster!$A:$D,4,0)</f>
        <v>Enterprise</v>
      </c>
      <c r="G33" s="58" t="str">
        <f>VLOOKUP(B33,rep_roster!$A:$C,3,0)</f>
        <v>AE</v>
      </c>
      <c r="H33" s="32">
        <v>75000</v>
      </c>
      <c r="I33" s="32">
        <v>92000</v>
      </c>
      <c r="J33" s="59">
        <f t="shared" si="1"/>
        <v>1.2266666666666666</v>
      </c>
      <c r="K33" s="50">
        <f t="shared" si="2"/>
        <v>17000</v>
      </c>
    </row>
    <row r="34" spans="1:11" ht="15" customHeight="1" x14ac:dyDescent="0.35">
      <c r="A34" s="52" t="str">
        <f t="shared" si="0"/>
        <v>R00406</v>
      </c>
      <c r="B34" s="25" t="s">
        <v>136</v>
      </c>
      <c r="C34" s="52" t="str">
        <f>VLOOKUP(B34,rep_roster!$A:$B,2,0)</f>
        <v>Olivia Brooks</v>
      </c>
      <c r="D34" s="25">
        <v>6</v>
      </c>
      <c r="E34" s="61" t="str">
        <f>INDEX({"Jan","Feb","Mar","Apr","May","Jun","Jul","Aug","Sep","Oct","Nov","Dec"},D34)</f>
        <v>Jun</v>
      </c>
      <c r="F34" s="61" t="str">
        <f>VLOOKUP(B34,rep_roster!$A:$D,4,0)</f>
        <v>Enterprise</v>
      </c>
      <c r="G34" s="61" t="str">
        <f>VLOOKUP(B34,rep_roster!$A:$C,3,0)</f>
        <v>AE</v>
      </c>
      <c r="H34" s="38">
        <v>75000</v>
      </c>
      <c r="I34" s="38">
        <v>85000</v>
      </c>
      <c r="J34" s="62">
        <f t="shared" si="1"/>
        <v>1.1333333333333333</v>
      </c>
      <c r="K34" s="53">
        <f t="shared" si="2"/>
        <v>10000</v>
      </c>
    </row>
    <row r="35" spans="1:11" ht="15" customHeight="1" x14ac:dyDescent="0.35">
      <c r="A35" s="49" t="str">
        <f t="shared" si="0"/>
        <v>R00407</v>
      </c>
      <c r="B35" s="22" t="s">
        <v>136</v>
      </c>
      <c r="C35" s="49" t="str">
        <f>VLOOKUP(B35,rep_roster!$A:$B,2,0)</f>
        <v>Olivia Brooks</v>
      </c>
      <c r="D35" s="22">
        <v>7</v>
      </c>
      <c r="E35" s="58" t="str">
        <f>INDEX({"Jan","Feb","Mar","Apr","May","Jun","Jul","Aug","Sep","Oct","Nov","Dec"},D35)</f>
        <v>Jul</v>
      </c>
      <c r="F35" s="58" t="str">
        <f>VLOOKUP(B35,rep_roster!$A:$D,4,0)</f>
        <v>Enterprise</v>
      </c>
      <c r="G35" s="58" t="str">
        <f>VLOOKUP(B35,rep_roster!$A:$C,3,0)</f>
        <v>AE</v>
      </c>
      <c r="H35" s="32">
        <v>75000</v>
      </c>
      <c r="I35" s="32">
        <v>72000</v>
      </c>
      <c r="J35" s="59">
        <f t="shared" si="1"/>
        <v>0.96</v>
      </c>
      <c r="K35" s="50">
        <f t="shared" si="2"/>
        <v>-3000</v>
      </c>
    </row>
    <row r="36" spans="1:11" ht="15" customHeight="1" x14ac:dyDescent="0.35">
      <c r="A36" s="52" t="str">
        <f t="shared" si="0"/>
        <v>R00408</v>
      </c>
      <c r="B36" s="25" t="s">
        <v>136</v>
      </c>
      <c r="C36" s="52" t="str">
        <f>VLOOKUP(B36,rep_roster!$A:$B,2,0)</f>
        <v>Olivia Brooks</v>
      </c>
      <c r="D36" s="25">
        <v>8</v>
      </c>
      <c r="E36" s="61" t="str">
        <f>INDEX({"Jan","Feb","Mar","Apr","May","Jun","Jul","Aug","Sep","Oct","Nov","Dec"},D36)</f>
        <v>Aug</v>
      </c>
      <c r="F36" s="61" t="str">
        <f>VLOOKUP(B36,rep_roster!$A:$D,4,0)</f>
        <v>Enterprise</v>
      </c>
      <c r="G36" s="61" t="str">
        <f>VLOOKUP(B36,rep_roster!$A:$C,3,0)</f>
        <v>AE</v>
      </c>
      <c r="H36" s="38">
        <v>75000</v>
      </c>
      <c r="I36" s="38">
        <v>65000</v>
      </c>
      <c r="J36" s="62">
        <f t="shared" si="1"/>
        <v>0.8666666666666667</v>
      </c>
      <c r="K36" s="53">
        <f t="shared" si="2"/>
        <v>-10000</v>
      </c>
    </row>
    <row r="37" spans="1:11" ht="15" customHeight="1" x14ac:dyDescent="0.35">
      <c r="A37" s="49" t="str">
        <f t="shared" ref="A37:A68" si="3">B37&amp;TEXT(D37,"00")</f>
        <v>R00409</v>
      </c>
      <c r="B37" s="22" t="s">
        <v>136</v>
      </c>
      <c r="C37" s="49" t="str">
        <f>VLOOKUP(B37,rep_roster!$A:$B,2,0)</f>
        <v>Olivia Brooks</v>
      </c>
      <c r="D37" s="22">
        <v>9</v>
      </c>
      <c r="E37" s="58" t="str">
        <f>INDEX({"Jan","Feb","Mar","Apr","May","Jun","Jul","Aug","Sep","Oct","Nov","Dec"},D37)</f>
        <v>Sep</v>
      </c>
      <c r="F37" s="58" t="str">
        <f>VLOOKUP(B37,rep_roster!$A:$D,4,0)</f>
        <v>Enterprise</v>
      </c>
      <c r="G37" s="58" t="str">
        <f>VLOOKUP(B37,rep_roster!$A:$C,3,0)</f>
        <v>AE</v>
      </c>
      <c r="H37" s="32">
        <v>75000</v>
      </c>
      <c r="I37" s="32">
        <v>78000</v>
      </c>
      <c r="J37" s="59">
        <f t="shared" ref="J37:J68" si="4">IF(H37&gt;0,I37/H37,0)</f>
        <v>1.04</v>
      </c>
      <c r="K37" s="50">
        <f t="shared" ref="K37:K68" si="5">I37-H37</f>
        <v>3000</v>
      </c>
    </row>
    <row r="38" spans="1:11" ht="15" customHeight="1" x14ac:dyDescent="0.35">
      <c r="A38" s="52" t="str">
        <f t="shared" si="3"/>
        <v>R00410</v>
      </c>
      <c r="B38" s="25" t="s">
        <v>136</v>
      </c>
      <c r="C38" s="52" t="str">
        <f>VLOOKUP(B38,rep_roster!$A:$B,2,0)</f>
        <v>Olivia Brooks</v>
      </c>
      <c r="D38" s="25">
        <v>10</v>
      </c>
      <c r="E38" s="61" t="str">
        <f>INDEX({"Jan","Feb","Mar","Apr","May","Jun","Jul","Aug","Sep","Oct","Nov","Dec"},D38)</f>
        <v>Oct</v>
      </c>
      <c r="F38" s="61" t="str">
        <f>VLOOKUP(B38,rep_roster!$A:$D,4,0)</f>
        <v>Enterprise</v>
      </c>
      <c r="G38" s="61" t="str">
        <f>VLOOKUP(B38,rep_roster!$A:$C,3,0)</f>
        <v>AE</v>
      </c>
      <c r="H38" s="38">
        <v>75000</v>
      </c>
      <c r="I38" s="38">
        <v>62000</v>
      </c>
      <c r="J38" s="62">
        <f t="shared" si="4"/>
        <v>0.82666666666666666</v>
      </c>
      <c r="K38" s="53">
        <f t="shared" si="5"/>
        <v>-13000</v>
      </c>
    </row>
    <row r="39" spans="1:11" ht="15" customHeight="1" x14ac:dyDescent="0.35">
      <c r="A39" s="49" t="str">
        <f t="shared" si="3"/>
        <v>R00411</v>
      </c>
      <c r="B39" s="22" t="s">
        <v>136</v>
      </c>
      <c r="C39" s="49" t="str">
        <f>VLOOKUP(B39,rep_roster!$A:$B,2,0)</f>
        <v>Olivia Brooks</v>
      </c>
      <c r="D39" s="22">
        <v>11</v>
      </c>
      <c r="E39" s="58" t="str">
        <f>INDEX({"Jan","Feb","Mar","Apr","May","Jun","Jul","Aug","Sep","Oct","Nov","Dec"},D39)</f>
        <v>Nov</v>
      </c>
      <c r="F39" s="58" t="str">
        <f>VLOOKUP(B39,rep_roster!$A:$D,4,0)</f>
        <v>Enterprise</v>
      </c>
      <c r="G39" s="58" t="str">
        <f>VLOOKUP(B39,rep_roster!$A:$C,3,0)</f>
        <v>AE</v>
      </c>
      <c r="H39" s="32">
        <v>75000</v>
      </c>
      <c r="I39" s="32">
        <v>70000</v>
      </c>
      <c r="J39" s="59">
        <f t="shared" si="4"/>
        <v>0.93333333333333335</v>
      </c>
      <c r="K39" s="50">
        <f t="shared" si="5"/>
        <v>-5000</v>
      </c>
    </row>
    <row r="40" spans="1:11" ht="15" customHeight="1" x14ac:dyDescent="0.35">
      <c r="A40" s="52" t="str">
        <f t="shared" si="3"/>
        <v>R00412</v>
      </c>
      <c r="B40" s="25" t="s">
        <v>136</v>
      </c>
      <c r="C40" s="52" t="str">
        <f>VLOOKUP(B40,rep_roster!$A:$B,2,0)</f>
        <v>Olivia Brooks</v>
      </c>
      <c r="D40" s="25">
        <v>12</v>
      </c>
      <c r="E40" s="61" t="str">
        <f>INDEX({"Jan","Feb","Mar","Apr","May","Jun","Jul","Aug","Sep","Oct","Nov","Dec"},D40)</f>
        <v>Dec</v>
      </c>
      <c r="F40" s="61" t="str">
        <f>VLOOKUP(B40,rep_roster!$A:$D,4,0)</f>
        <v>Enterprise</v>
      </c>
      <c r="G40" s="61" t="str">
        <f>VLOOKUP(B40,rep_roster!$A:$C,3,0)</f>
        <v>AE</v>
      </c>
      <c r="H40" s="38">
        <v>75000</v>
      </c>
      <c r="I40" s="38">
        <v>85000</v>
      </c>
      <c r="J40" s="62">
        <f t="shared" si="4"/>
        <v>1.1333333333333333</v>
      </c>
      <c r="K40" s="53">
        <f t="shared" si="5"/>
        <v>10000</v>
      </c>
    </row>
    <row r="41" spans="1:11" ht="15" customHeight="1" x14ac:dyDescent="0.35">
      <c r="A41" s="49" t="str">
        <f t="shared" si="3"/>
        <v>R00501</v>
      </c>
      <c r="B41" s="22" t="s">
        <v>140</v>
      </c>
      <c r="C41" s="49" t="str">
        <f>VLOOKUP(B41,rep_roster!$A:$B,2,0)</f>
        <v>David Kim</v>
      </c>
      <c r="D41" s="22">
        <v>1</v>
      </c>
      <c r="E41" s="58" t="str">
        <f>INDEX({"Jan","Feb","Mar","Apr","May","Jun","Jul","Aug","Sep","Oct","Nov","Dec"},D41)</f>
        <v>Jan</v>
      </c>
      <c r="F41" s="58" t="str">
        <f>VLOOKUP(B41,rep_roster!$A:$D,4,0)</f>
        <v>Enterprise</v>
      </c>
      <c r="G41" s="58" t="str">
        <f>VLOOKUP(B41,rep_roster!$A:$C,3,0)</f>
        <v>CSM</v>
      </c>
      <c r="H41" s="32">
        <v>40000</v>
      </c>
      <c r="I41" s="32">
        <v>52000</v>
      </c>
      <c r="J41" s="59">
        <f t="shared" si="4"/>
        <v>1.3</v>
      </c>
      <c r="K41" s="50">
        <f t="shared" si="5"/>
        <v>12000</v>
      </c>
    </row>
    <row r="42" spans="1:11" ht="15" customHeight="1" x14ac:dyDescent="0.35">
      <c r="A42" s="52" t="str">
        <f t="shared" si="3"/>
        <v>R00502</v>
      </c>
      <c r="B42" s="25" t="s">
        <v>140</v>
      </c>
      <c r="C42" s="52" t="str">
        <f>VLOOKUP(B42,rep_roster!$A:$B,2,0)</f>
        <v>David Kim</v>
      </c>
      <c r="D42" s="25">
        <v>2</v>
      </c>
      <c r="E42" s="61" t="str">
        <f>INDEX({"Jan","Feb","Mar","Apr","May","Jun","Jul","Aug","Sep","Oct","Nov","Dec"},D42)</f>
        <v>Feb</v>
      </c>
      <c r="F42" s="61" t="str">
        <f>VLOOKUP(B42,rep_roster!$A:$D,4,0)</f>
        <v>Enterprise</v>
      </c>
      <c r="G42" s="61" t="str">
        <f>VLOOKUP(B42,rep_roster!$A:$C,3,0)</f>
        <v>CSM</v>
      </c>
      <c r="H42" s="38">
        <v>40000</v>
      </c>
      <c r="I42" s="38">
        <v>48000</v>
      </c>
      <c r="J42" s="62">
        <f t="shared" si="4"/>
        <v>1.2</v>
      </c>
      <c r="K42" s="53">
        <f t="shared" si="5"/>
        <v>8000</v>
      </c>
    </row>
    <row r="43" spans="1:11" ht="15" customHeight="1" x14ac:dyDescent="0.35">
      <c r="A43" s="49" t="str">
        <f t="shared" si="3"/>
        <v>R00503</v>
      </c>
      <c r="B43" s="22" t="s">
        <v>140</v>
      </c>
      <c r="C43" s="49" t="str">
        <f>VLOOKUP(B43,rep_roster!$A:$B,2,0)</f>
        <v>David Kim</v>
      </c>
      <c r="D43" s="22">
        <v>3</v>
      </c>
      <c r="E43" s="58" t="str">
        <f>INDEX({"Jan","Feb","Mar","Apr","May","Jun","Jul","Aug","Sep","Oct","Nov","Dec"},D43)</f>
        <v>Mar</v>
      </c>
      <c r="F43" s="58" t="str">
        <f>VLOOKUP(B43,rep_roster!$A:$D,4,0)</f>
        <v>Enterprise</v>
      </c>
      <c r="G43" s="58" t="str">
        <f>VLOOKUP(B43,rep_roster!$A:$C,3,0)</f>
        <v>CSM</v>
      </c>
      <c r="H43" s="32">
        <v>40000</v>
      </c>
      <c r="I43" s="32">
        <v>58000</v>
      </c>
      <c r="J43" s="59">
        <f t="shared" si="4"/>
        <v>1.45</v>
      </c>
      <c r="K43" s="50">
        <f t="shared" si="5"/>
        <v>18000</v>
      </c>
    </row>
    <row r="44" spans="1:11" ht="15" customHeight="1" x14ac:dyDescent="0.35">
      <c r="A44" s="52" t="str">
        <f t="shared" si="3"/>
        <v>R00504</v>
      </c>
      <c r="B44" s="25" t="s">
        <v>140</v>
      </c>
      <c r="C44" s="52" t="str">
        <f>VLOOKUP(B44,rep_roster!$A:$B,2,0)</f>
        <v>David Kim</v>
      </c>
      <c r="D44" s="25">
        <v>4</v>
      </c>
      <c r="E44" s="61" t="str">
        <f>INDEX({"Jan","Feb","Mar","Apr","May","Jun","Jul","Aug","Sep","Oct","Nov","Dec"},D44)</f>
        <v>Apr</v>
      </c>
      <c r="F44" s="61" t="str">
        <f>VLOOKUP(B44,rep_roster!$A:$D,4,0)</f>
        <v>Enterprise</v>
      </c>
      <c r="G44" s="61" t="str">
        <f>VLOOKUP(B44,rep_roster!$A:$C,3,0)</f>
        <v>CSM</v>
      </c>
      <c r="H44" s="38">
        <v>40000</v>
      </c>
      <c r="I44" s="38">
        <v>44000</v>
      </c>
      <c r="J44" s="62">
        <f t="shared" si="4"/>
        <v>1.1000000000000001</v>
      </c>
      <c r="K44" s="53">
        <f t="shared" si="5"/>
        <v>4000</v>
      </c>
    </row>
    <row r="45" spans="1:11" ht="15" customHeight="1" x14ac:dyDescent="0.35">
      <c r="A45" s="49" t="str">
        <f t="shared" si="3"/>
        <v>R00505</v>
      </c>
      <c r="B45" s="22" t="s">
        <v>140</v>
      </c>
      <c r="C45" s="49" t="str">
        <f>VLOOKUP(B45,rep_roster!$A:$B,2,0)</f>
        <v>David Kim</v>
      </c>
      <c r="D45" s="22">
        <v>5</v>
      </c>
      <c r="E45" s="58" t="str">
        <f>INDEX({"Jan","Feb","Mar","Apr","May","Jun","Jul","Aug","Sep","Oct","Nov","Dec"},D45)</f>
        <v>May</v>
      </c>
      <c r="F45" s="58" t="str">
        <f>VLOOKUP(B45,rep_roster!$A:$D,4,0)</f>
        <v>Enterprise</v>
      </c>
      <c r="G45" s="58" t="str">
        <f>VLOOKUP(B45,rep_roster!$A:$C,3,0)</f>
        <v>CSM</v>
      </c>
      <c r="H45" s="32">
        <v>40000</v>
      </c>
      <c r="I45" s="32">
        <v>42000</v>
      </c>
      <c r="J45" s="59">
        <f t="shared" si="4"/>
        <v>1.05</v>
      </c>
      <c r="K45" s="50">
        <f t="shared" si="5"/>
        <v>2000</v>
      </c>
    </row>
    <row r="46" spans="1:11" ht="15" customHeight="1" x14ac:dyDescent="0.35">
      <c r="A46" s="52" t="str">
        <f t="shared" si="3"/>
        <v>R00506</v>
      </c>
      <c r="B46" s="25" t="s">
        <v>140</v>
      </c>
      <c r="C46" s="52" t="str">
        <f>VLOOKUP(B46,rep_roster!$A:$B,2,0)</f>
        <v>David Kim</v>
      </c>
      <c r="D46" s="25">
        <v>6</v>
      </c>
      <c r="E46" s="61" t="str">
        <f>INDEX({"Jan","Feb","Mar","Apr","May","Jun","Jul","Aug","Sep","Oct","Nov","Dec"},D46)</f>
        <v>Jun</v>
      </c>
      <c r="F46" s="61" t="str">
        <f>VLOOKUP(B46,rep_roster!$A:$D,4,0)</f>
        <v>Enterprise</v>
      </c>
      <c r="G46" s="61" t="str">
        <f>VLOOKUP(B46,rep_roster!$A:$C,3,0)</f>
        <v>CSM</v>
      </c>
      <c r="H46" s="38">
        <v>40000</v>
      </c>
      <c r="I46" s="38">
        <v>46000</v>
      </c>
      <c r="J46" s="62">
        <f t="shared" si="4"/>
        <v>1.1499999999999999</v>
      </c>
      <c r="K46" s="53">
        <f t="shared" si="5"/>
        <v>6000</v>
      </c>
    </row>
    <row r="47" spans="1:11" ht="15" customHeight="1" x14ac:dyDescent="0.35">
      <c r="A47" s="49" t="str">
        <f t="shared" si="3"/>
        <v>R00507</v>
      </c>
      <c r="B47" s="22" t="s">
        <v>140</v>
      </c>
      <c r="C47" s="49" t="str">
        <f>VLOOKUP(B47,rep_roster!$A:$B,2,0)</f>
        <v>David Kim</v>
      </c>
      <c r="D47" s="22">
        <v>7</v>
      </c>
      <c r="E47" s="58" t="str">
        <f>INDEX({"Jan","Feb","Mar","Apr","May","Jun","Jul","Aug","Sep","Oct","Nov","Dec"},D47)</f>
        <v>Jul</v>
      </c>
      <c r="F47" s="58" t="str">
        <f>VLOOKUP(B47,rep_roster!$A:$D,4,0)</f>
        <v>Enterprise</v>
      </c>
      <c r="G47" s="58" t="str">
        <f>VLOOKUP(B47,rep_roster!$A:$C,3,0)</f>
        <v>CSM</v>
      </c>
      <c r="H47" s="32">
        <v>40000</v>
      </c>
      <c r="I47" s="32">
        <v>35000</v>
      </c>
      <c r="J47" s="59">
        <f t="shared" si="4"/>
        <v>0.875</v>
      </c>
      <c r="K47" s="50">
        <f t="shared" si="5"/>
        <v>-5000</v>
      </c>
    </row>
    <row r="48" spans="1:11" ht="15" customHeight="1" x14ac:dyDescent="0.35">
      <c r="A48" s="52" t="str">
        <f t="shared" si="3"/>
        <v>R00508</v>
      </c>
      <c r="B48" s="25" t="s">
        <v>140</v>
      </c>
      <c r="C48" s="52" t="str">
        <f>VLOOKUP(B48,rep_roster!$A:$B,2,0)</f>
        <v>David Kim</v>
      </c>
      <c r="D48" s="25">
        <v>8</v>
      </c>
      <c r="E48" s="61" t="str">
        <f>INDEX({"Jan","Feb","Mar","Apr","May","Jun","Jul","Aug","Sep","Oct","Nov","Dec"},D48)</f>
        <v>Aug</v>
      </c>
      <c r="F48" s="61" t="str">
        <f>VLOOKUP(B48,rep_roster!$A:$D,4,0)</f>
        <v>Enterprise</v>
      </c>
      <c r="G48" s="61" t="str">
        <f>VLOOKUP(B48,rep_roster!$A:$C,3,0)</f>
        <v>CSM</v>
      </c>
      <c r="H48" s="38">
        <v>40000</v>
      </c>
      <c r="I48" s="38">
        <v>30000</v>
      </c>
      <c r="J48" s="62">
        <f t="shared" si="4"/>
        <v>0.75</v>
      </c>
      <c r="K48" s="53">
        <f t="shared" si="5"/>
        <v>-10000</v>
      </c>
    </row>
    <row r="49" spans="1:11" ht="15" customHeight="1" x14ac:dyDescent="0.35">
      <c r="A49" s="49" t="str">
        <f t="shared" si="3"/>
        <v>R00509</v>
      </c>
      <c r="B49" s="22" t="s">
        <v>140</v>
      </c>
      <c r="C49" s="49" t="str">
        <f>VLOOKUP(B49,rep_roster!$A:$B,2,0)</f>
        <v>David Kim</v>
      </c>
      <c r="D49" s="22">
        <v>9</v>
      </c>
      <c r="E49" s="58" t="str">
        <f>INDEX({"Jan","Feb","Mar","Apr","May","Jun","Jul","Aug","Sep","Oct","Nov","Dec"},D49)</f>
        <v>Sep</v>
      </c>
      <c r="F49" s="58" t="str">
        <f>VLOOKUP(B49,rep_roster!$A:$D,4,0)</f>
        <v>Enterprise</v>
      </c>
      <c r="G49" s="58" t="str">
        <f>VLOOKUP(B49,rep_roster!$A:$C,3,0)</f>
        <v>CSM</v>
      </c>
      <c r="H49" s="32">
        <v>40000</v>
      </c>
      <c r="I49" s="32">
        <v>38000</v>
      </c>
      <c r="J49" s="59">
        <f t="shared" si="4"/>
        <v>0.95</v>
      </c>
      <c r="K49" s="50">
        <f t="shared" si="5"/>
        <v>-2000</v>
      </c>
    </row>
    <row r="50" spans="1:11" ht="15" customHeight="1" x14ac:dyDescent="0.35">
      <c r="A50" s="52" t="str">
        <f t="shared" si="3"/>
        <v>R00610</v>
      </c>
      <c r="B50" s="25" t="s">
        <v>143</v>
      </c>
      <c r="C50" s="52" t="str">
        <f>VLOOKUP(B50,rep_roster!$A:$B,2,0)</f>
        <v>Lisa Park</v>
      </c>
      <c r="D50" s="25">
        <v>10</v>
      </c>
      <c r="E50" s="61" t="str">
        <f>INDEX({"Jan","Feb","Mar","Apr","May","Jun","Jul","Aug","Sep","Oct","Nov","Dec"},D50)</f>
        <v>Oct</v>
      </c>
      <c r="F50" s="61" t="str">
        <f>VLOOKUP(B50,rep_roster!$A:$D,4,0)</f>
        <v>Enterprise</v>
      </c>
      <c r="G50" s="61" t="str">
        <f>VLOOKUP(B50,rep_roster!$A:$C,3,0)</f>
        <v>CSM</v>
      </c>
      <c r="H50" s="38">
        <v>16000</v>
      </c>
      <c r="I50" s="38">
        <v>10000</v>
      </c>
      <c r="J50" s="62">
        <f t="shared" si="4"/>
        <v>0.625</v>
      </c>
      <c r="K50" s="53">
        <f t="shared" si="5"/>
        <v>-6000</v>
      </c>
    </row>
    <row r="51" spans="1:11" ht="15" customHeight="1" x14ac:dyDescent="0.35">
      <c r="A51" s="49" t="str">
        <f t="shared" si="3"/>
        <v>R00611</v>
      </c>
      <c r="B51" s="22" t="s">
        <v>143</v>
      </c>
      <c r="C51" s="49" t="str">
        <f>VLOOKUP(B51,rep_roster!$A:$B,2,0)</f>
        <v>Lisa Park</v>
      </c>
      <c r="D51" s="22">
        <v>11</v>
      </c>
      <c r="E51" s="58" t="str">
        <f>INDEX({"Jan","Feb","Mar","Apr","May","Jun","Jul","Aug","Sep","Oct","Nov","Dec"},D51)</f>
        <v>Nov</v>
      </c>
      <c r="F51" s="58" t="str">
        <f>VLOOKUP(B51,rep_roster!$A:$D,4,0)</f>
        <v>Enterprise</v>
      </c>
      <c r="G51" s="58" t="str">
        <f>VLOOKUP(B51,rep_roster!$A:$C,3,0)</f>
        <v>CSM</v>
      </c>
      <c r="H51" s="32">
        <v>28000</v>
      </c>
      <c r="I51" s="32">
        <v>12000</v>
      </c>
      <c r="J51" s="59">
        <f t="shared" si="4"/>
        <v>0.42857142857142855</v>
      </c>
      <c r="K51" s="50">
        <f t="shared" si="5"/>
        <v>-16000</v>
      </c>
    </row>
    <row r="52" spans="1:11" ht="15" customHeight="1" x14ac:dyDescent="0.35">
      <c r="A52" s="52" t="str">
        <f t="shared" si="3"/>
        <v>R00612</v>
      </c>
      <c r="B52" s="25" t="s">
        <v>143</v>
      </c>
      <c r="C52" s="52" t="str">
        <f>VLOOKUP(B52,rep_roster!$A:$B,2,0)</f>
        <v>Lisa Park</v>
      </c>
      <c r="D52" s="25">
        <v>12</v>
      </c>
      <c r="E52" s="61" t="str">
        <f>INDEX({"Jan","Feb","Mar","Apr","May","Jun","Jul","Aug","Sep","Oct","Nov","Dec"},D52)</f>
        <v>Dec</v>
      </c>
      <c r="F52" s="61" t="str">
        <f>VLOOKUP(B52,rep_roster!$A:$D,4,0)</f>
        <v>Enterprise</v>
      </c>
      <c r="G52" s="61" t="str">
        <f>VLOOKUP(B52,rep_roster!$A:$C,3,0)</f>
        <v>CSM</v>
      </c>
      <c r="H52" s="38">
        <v>40000</v>
      </c>
      <c r="I52" s="38">
        <v>15000</v>
      </c>
      <c r="J52" s="62">
        <f t="shared" si="4"/>
        <v>0.375</v>
      </c>
      <c r="K52" s="53">
        <f t="shared" si="5"/>
        <v>-25000</v>
      </c>
    </row>
    <row r="53" spans="1:11" ht="15" customHeight="1" x14ac:dyDescent="0.35">
      <c r="A53" s="49" t="str">
        <f t="shared" si="3"/>
        <v>R00801</v>
      </c>
      <c r="B53" s="22" t="s">
        <v>148</v>
      </c>
      <c r="C53" s="49" t="str">
        <f>VLOOKUP(B53,rep_roster!$A:$B,2,0)</f>
        <v>Kevin O'Brien</v>
      </c>
      <c r="D53" s="22">
        <v>1</v>
      </c>
      <c r="E53" s="58" t="str">
        <f>INDEX({"Jan","Feb","Mar","Apr","May","Jun","Jul","Aug","Sep","Oct","Nov","Dec"},D53)</f>
        <v>Jan</v>
      </c>
      <c r="F53" s="58" t="str">
        <f>VLOOKUP(B53,rep_roster!$A:$D,4,0)</f>
        <v>Mid-Market</v>
      </c>
      <c r="G53" s="58" t="str">
        <f>VLOOKUP(B53,rep_roster!$A:$C,3,0)</f>
        <v>SDR</v>
      </c>
      <c r="H53" s="33">
        <v>10</v>
      </c>
      <c r="I53" s="33">
        <v>12</v>
      </c>
      <c r="J53" s="59">
        <f t="shared" si="4"/>
        <v>1.2</v>
      </c>
      <c r="K53" s="60">
        <f t="shared" si="5"/>
        <v>2</v>
      </c>
    </row>
    <row r="54" spans="1:11" ht="15" customHeight="1" x14ac:dyDescent="0.35">
      <c r="A54" s="52" t="str">
        <f t="shared" si="3"/>
        <v>R00802</v>
      </c>
      <c r="B54" s="25" t="s">
        <v>148</v>
      </c>
      <c r="C54" s="52" t="str">
        <f>VLOOKUP(B54,rep_roster!$A:$B,2,0)</f>
        <v>Kevin O'Brien</v>
      </c>
      <c r="D54" s="25">
        <v>2</v>
      </c>
      <c r="E54" s="61" t="str">
        <f>INDEX({"Jan","Feb","Mar","Apr","May","Jun","Jul","Aug","Sep","Oct","Nov","Dec"},D54)</f>
        <v>Feb</v>
      </c>
      <c r="F54" s="61" t="str">
        <f>VLOOKUP(B54,rep_roster!$A:$D,4,0)</f>
        <v>Mid-Market</v>
      </c>
      <c r="G54" s="61" t="str">
        <f>VLOOKUP(B54,rep_roster!$A:$C,3,0)</f>
        <v>SDR</v>
      </c>
      <c r="H54" s="39">
        <v>10</v>
      </c>
      <c r="I54" s="39">
        <v>11</v>
      </c>
      <c r="J54" s="62">
        <f t="shared" si="4"/>
        <v>1.1000000000000001</v>
      </c>
      <c r="K54" s="63">
        <f t="shared" si="5"/>
        <v>1</v>
      </c>
    </row>
    <row r="55" spans="1:11" ht="15" customHeight="1" x14ac:dyDescent="0.35">
      <c r="A55" s="49" t="str">
        <f t="shared" si="3"/>
        <v>R00803</v>
      </c>
      <c r="B55" s="22" t="s">
        <v>148</v>
      </c>
      <c r="C55" s="49" t="str">
        <f>VLOOKUP(B55,rep_roster!$A:$B,2,0)</f>
        <v>Kevin O'Brien</v>
      </c>
      <c r="D55" s="22">
        <v>3</v>
      </c>
      <c r="E55" s="58" t="str">
        <f>INDEX({"Jan","Feb","Mar","Apr","May","Jun","Jul","Aug","Sep","Oct","Nov","Dec"},D55)</f>
        <v>Mar</v>
      </c>
      <c r="F55" s="58" t="str">
        <f>VLOOKUP(B55,rep_roster!$A:$D,4,0)</f>
        <v>Mid-Market</v>
      </c>
      <c r="G55" s="58" t="str">
        <f>VLOOKUP(B55,rep_roster!$A:$C,3,0)</f>
        <v>SDR</v>
      </c>
      <c r="H55" s="33">
        <v>10</v>
      </c>
      <c r="I55" s="33">
        <v>13</v>
      </c>
      <c r="J55" s="59">
        <f t="shared" si="4"/>
        <v>1.3</v>
      </c>
      <c r="K55" s="60">
        <f t="shared" si="5"/>
        <v>3</v>
      </c>
    </row>
    <row r="56" spans="1:11" ht="15" customHeight="1" x14ac:dyDescent="0.35">
      <c r="A56" s="52" t="str">
        <f t="shared" si="3"/>
        <v>R00804</v>
      </c>
      <c r="B56" s="25" t="s">
        <v>148</v>
      </c>
      <c r="C56" s="52" t="str">
        <f>VLOOKUP(B56,rep_roster!$A:$B,2,0)</f>
        <v>Kevin O'Brien</v>
      </c>
      <c r="D56" s="25">
        <v>4</v>
      </c>
      <c r="E56" s="61" t="str">
        <f>INDEX({"Jan","Feb","Mar","Apr","May","Jun","Jul","Aug","Sep","Oct","Nov","Dec"},D56)</f>
        <v>Apr</v>
      </c>
      <c r="F56" s="61" t="str">
        <f>VLOOKUP(B56,rep_roster!$A:$D,4,0)</f>
        <v>Mid-Market</v>
      </c>
      <c r="G56" s="61" t="str">
        <f>VLOOKUP(B56,rep_roster!$A:$C,3,0)</f>
        <v>SDR</v>
      </c>
      <c r="H56" s="39">
        <v>10</v>
      </c>
      <c r="I56" s="39">
        <v>11</v>
      </c>
      <c r="J56" s="62">
        <f t="shared" si="4"/>
        <v>1.1000000000000001</v>
      </c>
      <c r="K56" s="63">
        <f t="shared" si="5"/>
        <v>1</v>
      </c>
    </row>
    <row r="57" spans="1:11" ht="15" customHeight="1" x14ac:dyDescent="0.35">
      <c r="A57" s="49" t="str">
        <f t="shared" si="3"/>
        <v>R00805</v>
      </c>
      <c r="B57" s="22" t="s">
        <v>148</v>
      </c>
      <c r="C57" s="49" t="str">
        <f>VLOOKUP(B57,rep_roster!$A:$B,2,0)</f>
        <v>Kevin O'Brien</v>
      </c>
      <c r="D57" s="22">
        <v>5</v>
      </c>
      <c r="E57" s="58" t="str">
        <f>INDEX({"Jan","Feb","Mar","Apr","May","Jun","Jul","Aug","Sep","Oct","Nov","Dec"},D57)</f>
        <v>May</v>
      </c>
      <c r="F57" s="58" t="str">
        <f>VLOOKUP(B57,rep_roster!$A:$D,4,0)</f>
        <v>Mid-Market</v>
      </c>
      <c r="G57" s="58" t="str">
        <f>VLOOKUP(B57,rep_roster!$A:$C,3,0)</f>
        <v>SDR</v>
      </c>
      <c r="H57" s="33">
        <v>10</v>
      </c>
      <c r="I57" s="33">
        <v>11</v>
      </c>
      <c r="J57" s="59">
        <f t="shared" si="4"/>
        <v>1.1000000000000001</v>
      </c>
      <c r="K57" s="60">
        <f t="shared" si="5"/>
        <v>1</v>
      </c>
    </row>
    <row r="58" spans="1:11" ht="15" customHeight="1" x14ac:dyDescent="0.35">
      <c r="A58" s="52" t="str">
        <f t="shared" si="3"/>
        <v>R00806</v>
      </c>
      <c r="B58" s="25" t="s">
        <v>148</v>
      </c>
      <c r="C58" s="52" t="str">
        <f>VLOOKUP(B58,rep_roster!$A:$B,2,0)</f>
        <v>Kevin O'Brien</v>
      </c>
      <c r="D58" s="25">
        <v>6</v>
      </c>
      <c r="E58" s="61" t="str">
        <f>INDEX({"Jan","Feb","Mar","Apr","May","Jun","Jul","Aug","Sep","Oct","Nov","Dec"},D58)</f>
        <v>Jun</v>
      </c>
      <c r="F58" s="61" t="str">
        <f>VLOOKUP(B58,rep_roster!$A:$D,4,0)</f>
        <v>Mid-Market</v>
      </c>
      <c r="G58" s="61" t="str">
        <f>VLOOKUP(B58,rep_roster!$A:$C,3,0)</f>
        <v>SDR</v>
      </c>
      <c r="H58" s="39">
        <v>10</v>
      </c>
      <c r="I58" s="39">
        <v>10</v>
      </c>
      <c r="J58" s="62">
        <f t="shared" si="4"/>
        <v>1</v>
      </c>
      <c r="K58" s="63">
        <f t="shared" si="5"/>
        <v>0</v>
      </c>
    </row>
    <row r="59" spans="1:11" ht="15" customHeight="1" x14ac:dyDescent="0.35">
      <c r="A59" s="49" t="str">
        <f t="shared" si="3"/>
        <v>R00807</v>
      </c>
      <c r="B59" s="22" t="s">
        <v>148</v>
      </c>
      <c r="C59" s="49" t="str">
        <f>VLOOKUP(B59,rep_roster!$A:$B,2,0)</f>
        <v>Kevin O'Brien</v>
      </c>
      <c r="D59" s="22">
        <v>7</v>
      </c>
      <c r="E59" s="58" t="str">
        <f>INDEX({"Jan","Feb","Mar","Apr","May","Jun","Jul","Aug","Sep","Oct","Nov","Dec"},D59)</f>
        <v>Jul</v>
      </c>
      <c r="F59" s="58" t="str">
        <f>VLOOKUP(B59,rep_roster!$A:$D,4,0)</f>
        <v>Mid-Market</v>
      </c>
      <c r="G59" s="58" t="str">
        <f>VLOOKUP(B59,rep_roster!$A:$C,3,0)</f>
        <v>SDR</v>
      </c>
      <c r="H59" s="33">
        <v>10</v>
      </c>
      <c r="I59" s="33">
        <v>8</v>
      </c>
      <c r="J59" s="59">
        <f t="shared" si="4"/>
        <v>0.8</v>
      </c>
      <c r="K59" s="60">
        <f t="shared" si="5"/>
        <v>-2</v>
      </c>
    </row>
    <row r="60" spans="1:11" ht="15" customHeight="1" x14ac:dyDescent="0.35">
      <c r="A60" s="52" t="str">
        <f t="shared" si="3"/>
        <v>R00808</v>
      </c>
      <c r="B60" s="25" t="s">
        <v>148</v>
      </c>
      <c r="C60" s="52" t="str">
        <f>VLOOKUP(B60,rep_roster!$A:$B,2,0)</f>
        <v>Kevin O'Brien</v>
      </c>
      <c r="D60" s="25">
        <v>8</v>
      </c>
      <c r="E60" s="61" t="str">
        <f>INDEX({"Jan","Feb","Mar","Apr","May","Jun","Jul","Aug","Sep","Oct","Nov","Dec"},D60)</f>
        <v>Aug</v>
      </c>
      <c r="F60" s="61" t="str">
        <f>VLOOKUP(B60,rep_roster!$A:$D,4,0)</f>
        <v>Mid-Market</v>
      </c>
      <c r="G60" s="61" t="str">
        <f>VLOOKUP(B60,rep_roster!$A:$C,3,0)</f>
        <v>SDR</v>
      </c>
      <c r="H60" s="39">
        <v>10</v>
      </c>
      <c r="I60" s="39">
        <v>5</v>
      </c>
      <c r="J60" s="62">
        <f t="shared" si="4"/>
        <v>0.5</v>
      </c>
      <c r="K60" s="63">
        <f t="shared" si="5"/>
        <v>-5</v>
      </c>
    </row>
    <row r="61" spans="1:11" ht="15" customHeight="1" x14ac:dyDescent="0.35">
      <c r="A61" s="49" t="str">
        <f t="shared" si="3"/>
        <v>R00901</v>
      </c>
      <c r="B61" s="22" t="s">
        <v>150</v>
      </c>
      <c r="C61" s="49" t="str">
        <f>VLOOKUP(B61,rep_roster!$A:$B,2,0)</f>
        <v>Aisha Johnson</v>
      </c>
      <c r="D61" s="22">
        <v>1</v>
      </c>
      <c r="E61" s="58" t="str">
        <f>INDEX({"Jan","Feb","Mar","Apr","May","Jun","Jul","Aug","Sep","Oct","Nov","Dec"},D61)</f>
        <v>Jan</v>
      </c>
      <c r="F61" s="58" t="str">
        <f>VLOOKUP(B61,rep_roster!$A:$D,4,0)</f>
        <v>Mid-Market</v>
      </c>
      <c r="G61" s="58" t="str">
        <f>VLOOKUP(B61,rep_roster!$A:$C,3,0)</f>
        <v>SDR</v>
      </c>
      <c r="H61" s="33">
        <v>10</v>
      </c>
      <c r="I61" s="33">
        <v>12</v>
      </c>
      <c r="J61" s="59">
        <f t="shared" si="4"/>
        <v>1.2</v>
      </c>
      <c r="K61" s="60">
        <f t="shared" si="5"/>
        <v>2</v>
      </c>
    </row>
    <row r="62" spans="1:11" ht="15" customHeight="1" x14ac:dyDescent="0.35">
      <c r="A62" s="52" t="str">
        <f t="shared" si="3"/>
        <v>R00902</v>
      </c>
      <c r="B62" s="25" t="s">
        <v>150</v>
      </c>
      <c r="C62" s="52" t="str">
        <f>VLOOKUP(B62,rep_roster!$A:$B,2,0)</f>
        <v>Aisha Johnson</v>
      </c>
      <c r="D62" s="25">
        <v>2</v>
      </c>
      <c r="E62" s="61" t="str">
        <f>INDEX({"Jan","Feb","Mar","Apr","May","Jun","Jul","Aug","Sep","Oct","Nov","Dec"},D62)</f>
        <v>Feb</v>
      </c>
      <c r="F62" s="61" t="str">
        <f>VLOOKUP(B62,rep_roster!$A:$D,4,0)</f>
        <v>Mid-Market</v>
      </c>
      <c r="G62" s="61" t="str">
        <f>VLOOKUP(B62,rep_roster!$A:$C,3,0)</f>
        <v>SDR</v>
      </c>
      <c r="H62" s="39">
        <v>10</v>
      </c>
      <c r="I62" s="39">
        <v>12</v>
      </c>
      <c r="J62" s="62">
        <f t="shared" si="4"/>
        <v>1.2</v>
      </c>
      <c r="K62" s="63">
        <f t="shared" si="5"/>
        <v>2</v>
      </c>
    </row>
    <row r="63" spans="1:11" ht="15" customHeight="1" x14ac:dyDescent="0.35">
      <c r="A63" s="49" t="str">
        <f t="shared" si="3"/>
        <v>R00903</v>
      </c>
      <c r="B63" s="22" t="s">
        <v>150</v>
      </c>
      <c r="C63" s="49" t="str">
        <f>VLOOKUP(B63,rep_roster!$A:$B,2,0)</f>
        <v>Aisha Johnson</v>
      </c>
      <c r="D63" s="22">
        <v>3</v>
      </c>
      <c r="E63" s="58" t="str">
        <f>INDEX({"Jan","Feb","Mar","Apr","May","Jun","Jul","Aug","Sep","Oct","Nov","Dec"},D63)</f>
        <v>Mar</v>
      </c>
      <c r="F63" s="58" t="str">
        <f>VLOOKUP(B63,rep_roster!$A:$D,4,0)</f>
        <v>Mid-Market</v>
      </c>
      <c r="G63" s="58" t="str">
        <f>VLOOKUP(B63,rep_roster!$A:$C,3,0)</f>
        <v>SDR</v>
      </c>
      <c r="H63" s="33">
        <v>10</v>
      </c>
      <c r="I63" s="33">
        <v>14</v>
      </c>
      <c r="J63" s="59">
        <f t="shared" si="4"/>
        <v>1.4</v>
      </c>
      <c r="K63" s="60">
        <f t="shared" si="5"/>
        <v>4</v>
      </c>
    </row>
    <row r="64" spans="1:11" ht="15" customHeight="1" x14ac:dyDescent="0.35">
      <c r="A64" s="52" t="str">
        <f t="shared" si="3"/>
        <v>R00904</v>
      </c>
      <c r="B64" s="25" t="s">
        <v>150</v>
      </c>
      <c r="C64" s="52" t="str">
        <f>VLOOKUP(B64,rep_roster!$A:$B,2,0)</f>
        <v>Aisha Johnson</v>
      </c>
      <c r="D64" s="25">
        <v>4</v>
      </c>
      <c r="E64" s="61" t="str">
        <f>INDEX({"Jan","Feb","Mar","Apr","May","Jun","Jul","Aug","Sep","Oct","Nov","Dec"},D64)</f>
        <v>Apr</v>
      </c>
      <c r="F64" s="61" t="str">
        <f>VLOOKUP(B64,rep_roster!$A:$D,4,0)</f>
        <v>Mid-Market</v>
      </c>
      <c r="G64" s="61" t="str">
        <f>VLOOKUP(B64,rep_roster!$A:$C,3,0)</f>
        <v>SDR</v>
      </c>
      <c r="H64" s="39">
        <v>10</v>
      </c>
      <c r="I64" s="39">
        <v>11</v>
      </c>
      <c r="J64" s="62">
        <f t="shared" si="4"/>
        <v>1.1000000000000001</v>
      </c>
      <c r="K64" s="63">
        <f t="shared" si="5"/>
        <v>1</v>
      </c>
    </row>
    <row r="65" spans="1:11" ht="15" customHeight="1" x14ac:dyDescent="0.35">
      <c r="A65" s="49" t="str">
        <f t="shared" si="3"/>
        <v>R00905</v>
      </c>
      <c r="B65" s="22" t="s">
        <v>150</v>
      </c>
      <c r="C65" s="49" t="str">
        <f>VLOOKUP(B65,rep_roster!$A:$B,2,0)</f>
        <v>Aisha Johnson</v>
      </c>
      <c r="D65" s="22">
        <v>5</v>
      </c>
      <c r="E65" s="58" t="str">
        <f>INDEX({"Jan","Feb","Mar","Apr","May","Jun","Jul","Aug","Sep","Oct","Nov","Dec"},D65)</f>
        <v>May</v>
      </c>
      <c r="F65" s="58" t="str">
        <f>VLOOKUP(B65,rep_roster!$A:$D,4,0)</f>
        <v>Mid-Market</v>
      </c>
      <c r="G65" s="58" t="str">
        <f>VLOOKUP(B65,rep_roster!$A:$C,3,0)</f>
        <v>SDR</v>
      </c>
      <c r="H65" s="33">
        <v>10</v>
      </c>
      <c r="I65" s="33">
        <v>12</v>
      </c>
      <c r="J65" s="59">
        <f t="shared" si="4"/>
        <v>1.2</v>
      </c>
      <c r="K65" s="60">
        <f t="shared" si="5"/>
        <v>2</v>
      </c>
    </row>
    <row r="66" spans="1:11" ht="15" customHeight="1" x14ac:dyDescent="0.35">
      <c r="A66" s="52" t="str">
        <f t="shared" si="3"/>
        <v>R00906</v>
      </c>
      <c r="B66" s="25" t="s">
        <v>150</v>
      </c>
      <c r="C66" s="52" t="str">
        <f>VLOOKUP(B66,rep_roster!$A:$B,2,0)</f>
        <v>Aisha Johnson</v>
      </c>
      <c r="D66" s="25">
        <v>6</v>
      </c>
      <c r="E66" s="61" t="str">
        <f>INDEX({"Jan","Feb","Mar","Apr","May","Jun","Jul","Aug","Sep","Oct","Nov","Dec"},D66)</f>
        <v>Jun</v>
      </c>
      <c r="F66" s="61" t="str">
        <f>VLOOKUP(B66,rep_roster!$A:$D,4,0)</f>
        <v>Mid-Market</v>
      </c>
      <c r="G66" s="61" t="str">
        <f>VLOOKUP(B66,rep_roster!$A:$C,3,0)</f>
        <v>SDR</v>
      </c>
      <c r="H66" s="39">
        <v>10</v>
      </c>
      <c r="I66" s="39">
        <v>11</v>
      </c>
      <c r="J66" s="62">
        <f t="shared" si="4"/>
        <v>1.1000000000000001</v>
      </c>
      <c r="K66" s="63">
        <f t="shared" si="5"/>
        <v>1</v>
      </c>
    </row>
    <row r="67" spans="1:11" ht="15" customHeight="1" x14ac:dyDescent="0.35">
      <c r="A67" s="49" t="str">
        <f t="shared" si="3"/>
        <v>R00907</v>
      </c>
      <c r="B67" s="22" t="s">
        <v>150</v>
      </c>
      <c r="C67" s="49" t="str">
        <f>VLOOKUP(B67,rep_roster!$A:$B,2,0)</f>
        <v>Aisha Johnson</v>
      </c>
      <c r="D67" s="22">
        <v>7</v>
      </c>
      <c r="E67" s="58" t="str">
        <f>INDEX({"Jan","Feb","Mar","Apr","May","Jun","Jul","Aug","Sep","Oct","Nov","Dec"},D67)</f>
        <v>Jul</v>
      </c>
      <c r="F67" s="58" t="str">
        <f>VLOOKUP(B67,rep_roster!$A:$D,4,0)</f>
        <v>Mid-Market</v>
      </c>
      <c r="G67" s="58" t="str">
        <f>VLOOKUP(B67,rep_roster!$A:$C,3,0)</f>
        <v>SDR</v>
      </c>
      <c r="H67" s="33">
        <v>10</v>
      </c>
      <c r="I67" s="33">
        <v>9</v>
      </c>
      <c r="J67" s="59">
        <f t="shared" si="4"/>
        <v>0.9</v>
      </c>
      <c r="K67" s="60">
        <f t="shared" si="5"/>
        <v>-1</v>
      </c>
    </row>
    <row r="68" spans="1:11" ht="15" customHeight="1" x14ac:dyDescent="0.35">
      <c r="A68" s="52" t="str">
        <f t="shared" si="3"/>
        <v>R00908</v>
      </c>
      <c r="B68" s="25" t="s">
        <v>150</v>
      </c>
      <c r="C68" s="52" t="str">
        <f>VLOOKUP(B68,rep_roster!$A:$B,2,0)</f>
        <v>Aisha Johnson</v>
      </c>
      <c r="D68" s="25">
        <v>8</v>
      </c>
      <c r="E68" s="61" t="str">
        <f>INDEX({"Jan","Feb","Mar","Apr","May","Jun","Jul","Aug","Sep","Oct","Nov","Dec"},D68)</f>
        <v>Aug</v>
      </c>
      <c r="F68" s="61" t="str">
        <f>VLOOKUP(B68,rep_roster!$A:$D,4,0)</f>
        <v>Mid-Market</v>
      </c>
      <c r="G68" s="61" t="str">
        <f>VLOOKUP(B68,rep_roster!$A:$C,3,0)</f>
        <v>SDR</v>
      </c>
      <c r="H68" s="39">
        <v>10</v>
      </c>
      <c r="I68" s="39">
        <v>8</v>
      </c>
      <c r="J68" s="62">
        <f t="shared" si="4"/>
        <v>0.8</v>
      </c>
      <c r="K68" s="63">
        <f t="shared" si="5"/>
        <v>-2</v>
      </c>
    </row>
    <row r="69" spans="1:11" ht="15" customHeight="1" x14ac:dyDescent="0.35">
      <c r="A69" s="49" t="str">
        <f t="shared" ref="A69:A100" si="6">B69&amp;TEXT(D69,"00")</f>
        <v>R00909</v>
      </c>
      <c r="B69" s="22" t="s">
        <v>150</v>
      </c>
      <c r="C69" s="49" t="str">
        <f>VLOOKUP(B69,rep_roster!$A:$B,2,0)</f>
        <v>Aisha Johnson</v>
      </c>
      <c r="D69" s="22">
        <v>9</v>
      </c>
      <c r="E69" s="58" t="str">
        <f>INDEX({"Jan","Feb","Mar","Apr","May","Jun","Jul","Aug","Sep","Oct","Nov","Dec"},D69)</f>
        <v>Sep</v>
      </c>
      <c r="F69" s="58" t="str">
        <f>VLOOKUP(B69,rep_roster!$A:$D,4,0)</f>
        <v>Mid-Market</v>
      </c>
      <c r="G69" s="58" t="str">
        <f>VLOOKUP(B69,rep_roster!$A:$C,3,0)</f>
        <v>SDR</v>
      </c>
      <c r="H69" s="33">
        <v>10</v>
      </c>
      <c r="I69" s="33">
        <v>10</v>
      </c>
      <c r="J69" s="59">
        <f t="shared" ref="J69:J100" si="7">IF(H69&gt;0,I69/H69,0)</f>
        <v>1</v>
      </c>
      <c r="K69" s="60">
        <f t="shared" ref="K69:K100" si="8">I69-H69</f>
        <v>0</v>
      </c>
    </row>
    <row r="70" spans="1:11" ht="15" customHeight="1" x14ac:dyDescent="0.35">
      <c r="A70" s="52" t="str">
        <f t="shared" si="6"/>
        <v>R00910</v>
      </c>
      <c r="B70" s="25" t="s">
        <v>150</v>
      </c>
      <c r="C70" s="52" t="str">
        <f>VLOOKUP(B70,rep_roster!$A:$B,2,0)</f>
        <v>Aisha Johnson</v>
      </c>
      <c r="D70" s="25">
        <v>10</v>
      </c>
      <c r="E70" s="61" t="str">
        <f>INDEX({"Jan","Feb","Mar","Apr","May","Jun","Jul","Aug","Sep","Oct","Nov","Dec"},D70)</f>
        <v>Oct</v>
      </c>
      <c r="F70" s="61" t="str">
        <f>VLOOKUP(B70,rep_roster!$A:$D,4,0)</f>
        <v>Mid-Market</v>
      </c>
      <c r="G70" s="61" t="str">
        <f>VLOOKUP(B70,rep_roster!$A:$C,3,0)</f>
        <v>SDR</v>
      </c>
      <c r="H70" s="39">
        <v>10</v>
      </c>
      <c r="I70" s="39">
        <v>8</v>
      </c>
      <c r="J70" s="62">
        <f t="shared" si="7"/>
        <v>0.8</v>
      </c>
      <c r="K70" s="63">
        <f t="shared" si="8"/>
        <v>-2</v>
      </c>
    </row>
    <row r="71" spans="1:11" ht="15" customHeight="1" x14ac:dyDescent="0.35">
      <c r="A71" s="49" t="str">
        <f t="shared" si="6"/>
        <v>R00911</v>
      </c>
      <c r="B71" s="22" t="s">
        <v>150</v>
      </c>
      <c r="C71" s="49" t="str">
        <f>VLOOKUP(B71,rep_roster!$A:$B,2,0)</f>
        <v>Aisha Johnson</v>
      </c>
      <c r="D71" s="22">
        <v>11</v>
      </c>
      <c r="E71" s="58" t="str">
        <f>INDEX({"Jan","Feb","Mar","Apr","May","Jun","Jul","Aug","Sep","Oct","Nov","Dec"},D71)</f>
        <v>Nov</v>
      </c>
      <c r="F71" s="58" t="str">
        <f>VLOOKUP(B71,rep_roster!$A:$D,4,0)</f>
        <v>Mid-Market</v>
      </c>
      <c r="G71" s="58" t="str">
        <f>VLOOKUP(B71,rep_roster!$A:$C,3,0)</f>
        <v>SDR</v>
      </c>
      <c r="H71" s="33">
        <v>10</v>
      </c>
      <c r="I71" s="33">
        <v>10</v>
      </c>
      <c r="J71" s="59">
        <f t="shared" si="7"/>
        <v>1</v>
      </c>
      <c r="K71" s="60">
        <f t="shared" si="8"/>
        <v>0</v>
      </c>
    </row>
    <row r="72" spans="1:11" ht="15" customHeight="1" x14ac:dyDescent="0.35">
      <c r="A72" s="52" t="str">
        <f t="shared" si="6"/>
        <v>R00912</v>
      </c>
      <c r="B72" s="25" t="s">
        <v>150</v>
      </c>
      <c r="C72" s="52" t="str">
        <f>VLOOKUP(B72,rep_roster!$A:$B,2,0)</f>
        <v>Aisha Johnson</v>
      </c>
      <c r="D72" s="25">
        <v>12</v>
      </c>
      <c r="E72" s="61" t="str">
        <f>INDEX({"Jan","Feb","Mar","Apr","May","Jun","Jul","Aug","Sep","Oct","Nov","Dec"},D72)</f>
        <v>Dec</v>
      </c>
      <c r="F72" s="61" t="str">
        <f>VLOOKUP(B72,rep_roster!$A:$D,4,0)</f>
        <v>Mid-Market</v>
      </c>
      <c r="G72" s="61" t="str">
        <f>VLOOKUP(B72,rep_roster!$A:$C,3,0)</f>
        <v>SDR</v>
      </c>
      <c r="H72" s="39">
        <v>10</v>
      </c>
      <c r="I72" s="39">
        <v>11</v>
      </c>
      <c r="J72" s="62">
        <f t="shared" si="7"/>
        <v>1.1000000000000001</v>
      </c>
      <c r="K72" s="63">
        <f t="shared" si="8"/>
        <v>1</v>
      </c>
    </row>
    <row r="73" spans="1:11" ht="15" customHeight="1" x14ac:dyDescent="0.35">
      <c r="A73" s="49" t="str">
        <f t="shared" si="6"/>
        <v>R01007</v>
      </c>
      <c r="B73" s="22" t="s">
        <v>154</v>
      </c>
      <c r="C73" s="49" t="str">
        <f>VLOOKUP(B73,rep_roster!$A:$B,2,0)</f>
        <v>Jessica Martinez</v>
      </c>
      <c r="D73" s="22">
        <v>7</v>
      </c>
      <c r="E73" s="58" t="str">
        <f>INDEX({"Jan","Feb","Mar","Apr","May","Jun","Jul","Aug","Sep","Oct","Nov","Dec"},D73)</f>
        <v>Jul</v>
      </c>
      <c r="F73" s="58" t="str">
        <f>VLOOKUP(B73,rep_roster!$A:$D,4,0)</f>
        <v>Mid-Market</v>
      </c>
      <c r="G73" s="58" t="str">
        <f>VLOOKUP(B73,rep_roster!$A:$C,3,0)</f>
        <v>SDR</v>
      </c>
      <c r="H73" s="33">
        <v>4</v>
      </c>
      <c r="I73" s="33">
        <v>6</v>
      </c>
      <c r="J73" s="59">
        <f t="shared" si="7"/>
        <v>1.5</v>
      </c>
      <c r="K73" s="60">
        <f t="shared" si="8"/>
        <v>2</v>
      </c>
    </row>
    <row r="74" spans="1:11" ht="15" customHeight="1" x14ac:dyDescent="0.35">
      <c r="A74" s="52" t="str">
        <f t="shared" si="6"/>
        <v>R01008</v>
      </c>
      <c r="B74" s="25" t="s">
        <v>154</v>
      </c>
      <c r="C74" s="52" t="str">
        <f>VLOOKUP(B74,rep_roster!$A:$B,2,0)</f>
        <v>Jessica Martinez</v>
      </c>
      <c r="D74" s="25">
        <v>8</v>
      </c>
      <c r="E74" s="61" t="str">
        <f>INDEX({"Jan","Feb","Mar","Apr","May","Jun","Jul","Aug","Sep","Oct","Nov","Dec"},D74)</f>
        <v>Aug</v>
      </c>
      <c r="F74" s="61" t="str">
        <f>VLOOKUP(B74,rep_roster!$A:$D,4,0)</f>
        <v>Mid-Market</v>
      </c>
      <c r="G74" s="61" t="str">
        <f>VLOOKUP(B74,rep_roster!$A:$C,3,0)</f>
        <v>SDR</v>
      </c>
      <c r="H74" s="39">
        <v>7</v>
      </c>
      <c r="I74" s="39">
        <v>8</v>
      </c>
      <c r="J74" s="62">
        <f t="shared" si="7"/>
        <v>1.1428571428571428</v>
      </c>
      <c r="K74" s="63">
        <f t="shared" si="8"/>
        <v>1</v>
      </c>
    </row>
    <row r="75" spans="1:11" ht="15" customHeight="1" x14ac:dyDescent="0.35">
      <c r="A75" s="49" t="str">
        <f t="shared" si="6"/>
        <v>R01009</v>
      </c>
      <c r="B75" s="22" t="s">
        <v>154</v>
      </c>
      <c r="C75" s="49" t="str">
        <f>VLOOKUP(B75,rep_roster!$A:$B,2,0)</f>
        <v>Jessica Martinez</v>
      </c>
      <c r="D75" s="22">
        <v>9</v>
      </c>
      <c r="E75" s="58" t="str">
        <f>INDEX({"Jan","Feb","Mar","Apr","May","Jun","Jul","Aug","Sep","Oct","Nov","Dec"},D75)</f>
        <v>Sep</v>
      </c>
      <c r="F75" s="58" t="str">
        <f>VLOOKUP(B75,rep_roster!$A:$D,4,0)</f>
        <v>Mid-Market</v>
      </c>
      <c r="G75" s="58" t="str">
        <f>VLOOKUP(B75,rep_roster!$A:$C,3,0)</f>
        <v>SDR</v>
      </c>
      <c r="H75" s="33">
        <v>10</v>
      </c>
      <c r="I75" s="33">
        <v>11</v>
      </c>
      <c r="J75" s="59">
        <f t="shared" si="7"/>
        <v>1.1000000000000001</v>
      </c>
      <c r="K75" s="60">
        <f t="shared" si="8"/>
        <v>1</v>
      </c>
    </row>
    <row r="76" spans="1:11" ht="15" customHeight="1" x14ac:dyDescent="0.35">
      <c r="A76" s="52" t="str">
        <f t="shared" si="6"/>
        <v>R01010</v>
      </c>
      <c r="B76" s="25" t="s">
        <v>154</v>
      </c>
      <c r="C76" s="52" t="str">
        <f>VLOOKUP(B76,rep_roster!$A:$B,2,0)</f>
        <v>Jessica Martinez</v>
      </c>
      <c r="D76" s="25">
        <v>10</v>
      </c>
      <c r="E76" s="61" t="str">
        <f>INDEX({"Jan","Feb","Mar","Apr","May","Jun","Jul","Aug","Sep","Oct","Nov","Dec"},D76)</f>
        <v>Oct</v>
      </c>
      <c r="F76" s="61" t="str">
        <f>VLOOKUP(B76,rep_roster!$A:$D,4,0)</f>
        <v>Mid-Market</v>
      </c>
      <c r="G76" s="61" t="str">
        <f>VLOOKUP(B76,rep_roster!$A:$C,3,0)</f>
        <v>SDR</v>
      </c>
      <c r="H76" s="39">
        <v>10</v>
      </c>
      <c r="I76" s="39">
        <v>10</v>
      </c>
      <c r="J76" s="62">
        <f t="shared" si="7"/>
        <v>1</v>
      </c>
      <c r="K76" s="63">
        <f t="shared" si="8"/>
        <v>0</v>
      </c>
    </row>
    <row r="77" spans="1:11" ht="15" customHeight="1" x14ac:dyDescent="0.35">
      <c r="A77" s="49" t="str">
        <f t="shared" si="6"/>
        <v>R01011</v>
      </c>
      <c r="B77" s="22" t="s">
        <v>154</v>
      </c>
      <c r="C77" s="49" t="str">
        <f>VLOOKUP(B77,rep_roster!$A:$B,2,0)</f>
        <v>Jessica Martinez</v>
      </c>
      <c r="D77" s="22">
        <v>11</v>
      </c>
      <c r="E77" s="58" t="str">
        <f>INDEX({"Jan","Feb","Mar","Apr","May","Jun","Jul","Aug","Sep","Oct","Nov","Dec"},D77)</f>
        <v>Nov</v>
      </c>
      <c r="F77" s="58" t="str">
        <f>VLOOKUP(B77,rep_roster!$A:$D,4,0)</f>
        <v>Mid-Market</v>
      </c>
      <c r="G77" s="58" t="str">
        <f>VLOOKUP(B77,rep_roster!$A:$C,3,0)</f>
        <v>SDR</v>
      </c>
      <c r="H77" s="33">
        <v>10</v>
      </c>
      <c r="I77" s="33">
        <v>11</v>
      </c>
      <c r="J77" s="59">
        <f t="shared" si="7"/>
        <v>1.1000000000000001</v>
      </c>
      <c r="K77" s="60">
        <f t="shared" si="8"/>
        <v>1</v>
      </c>
    </row>
    <row r="78" spans="1:11" ht="15" customHeight="1" x14ac:dyDescent="0.35">
      <c r="A78" s="52" t="str">
        <f t="shared" si="6"/>
        <v>R01012</v>
      </c>
      <c r="B78" s="25" t="s">
        <v>154</v>
      </c>
      <c r="C78" s="52" t="str">
        <f>VLOOKUP(B78,rep_roster!$A:$B,2,0)</f>
        <v>Jessica Martinez</v>
      </c>
      <c r="D78" s="25">
        <v>12</v>
      </c>
      <c r="E78" s="61" t="str">
        <f>INDEX({"Jan","Feb","Mar","Apr","May","Jun","Jul","Aug","Sep","Oct","Nov","Dec"},D78)</f>
        <v>Dec</v>
      </c>
      <c r="F78" s="61" t="str">
        <f>VLOOKUP(B78,rep_roster!$A:$D,4,0)</f>
        <v>Mid-Market</v>
      </c>
      <c r="G78" s="61" t="str">
        <f>VLOOKUP(B78,rep_roster!$A:$C,3,0)</f>
        <v>SDR</v>
      </c>
      <c r="H78" s="39">
        <v>10</v>
      </c>
      <c r="I78" s="39">
        <v>11</v>
      </c>
      <c r="J78" s="62">
        <f t="shared" si="7"/>
        <v>1.1000000000000001</v>
      </c>
      <c r="K78" s="63">
        <f t="shared" si="8"/>
        <v>1</v>
      </c>
    </row>
    <row r="79" spans="1:11" ht="15" customHeight="1" x14ac:dyDescent="0.35">
      <c r="A79" s="49" t="str">
        <f t="shared" si="6"/>
        <v>R01101</v>
      </c>
      <c r="B79" s="22" t="s">
        <v>157</v>
      </c>
      <c r="C79" s="49" t="str">
        <f>VLOOKUP(B79,rep_roster!$A:$B,2,0)</f>
        <v>Ryan Thompson</v>
      </c>
      <c r="D79" s="22">
        <v>1</v>
      </c>
      <c r="E79" s="58" t="str">
        <f>INDEX({"Jan","Feb","Mar","Apr","May","Jun","Jul","Aug","Sep","Oct","Nov","Dec"},D79)</f>
        <v>Jan</v>
      </c>
      <c r="F79" s="58" t="str">
        <f>VLOOKUP(B79,rep_roster!$A:$D,4,0)</f>
        <v>Mid-Market</v>
      </c>
      <c r="G79" s="58" t="str">
        <f>VLOOKUP(B79,rep_roster!$A:$C,3,0)</f>
        <v>AE</v>
      </c>
      <c r="H79" s="32">
        <v>50000</v>
      </c>
      <c r="I79" s="32">
        <v>62000</v>
      </c>
      <c r="J79" s="59">
        <f t="shared" si="7"/>
        <v>1.24</v>
      </c>
      <c r="K79" s="50">
        <f t="shared" si="8"/>
        <v>12000</v>
      </c>
    </row>
    <row r="80" spans="1:11" ht="15" customHeight="1" x14ac:dyDescent="0.35">
      <c r="A80" s="52" t="str">
        <f t="shared" si="6"/>
        <v>R01102</v>
      </c>
      <c r="B80" s="25" t="s">
        <v>157</v>
      </c>
      <c r="C80" s="52" t="str">
        <f>VLOOKUP(B80,rep_roster!$A:$B,2,0)</f>
        <v>Ryan Thompson</v>
      </c>
      <c r="D80" s="25">
        <v>2</v>
      </c>
      <c r="E80" s="61" t="str">
        <f>INDEX({"Jan","Feb","Mar","Apr","May","Jun","Jul","Aug","Sep","Oct","Nov","Dec"},D80)</f>
        <v>Feb</v>
      </c>
      <c r="F80" s="61" t="str">
        <f>VLOOKUP(B80,rep_roster!$A:$D,4,0)</f>
        <v>Mid-Market</v>
      </c>
      <c r="G80" s="61" t="str">
        <f>VLOOKUP(B80,rep_roster!$A:$C,3,0)</f>
        <v>AE</v>
      </c>
      <c r="H80" s="38">
        <v>50000</v>
      </c>
      <c r="I80" s="38">
        <v>58000</v>
      </c>
      <c r="J80" s="62">
        <f t="shared" si="7"/>
        <v>1.1599999999999999</v>
      </c>
      <c r="K80" s="53">
        <f t="shared" si="8"/>
        <v>8000</v>
      </c>
    </row>
    <row r="81" spans="1:11" ht="15" customHeight="1" x14ac:dyDescent="0.35">
      <c r="A81" s="49" t="str">
        <f t="shared" si="6"/>
        <v>R01103</v>
      </c>
      <c r="B81" s="22" t="s">
        <v>157</v>
      </c>
      <c r="C81" s="49" t="str">
        <f>VLOOKUP(B81,rep_roster!$A:$B,2,0)</f>
        <v>Ryan Thompson</v>
      </c>
      <c r="D81" s="22">
        <v>3</v>
      </c>
      <c r="E81" s="58" t="str">
        <f>INDEX({"Jan","Feb","Mar","Apr","May","Jun","Jul","Aug","Sep","Oct","Nov","Dec"},D81)</f>
        <v>Mar</v>
      </c>
      <c r="F81" s="58" t="str">
        <f>VLOOKUP(B81,rep_roster!$A:$D,4,0)</f>
        <v>Mid-Market</v>
      </c>
      <c r="G81" s="58" t="str">
        <f>VLOOKUP(B81,rep_roster!$A:$C,3,0)</f>
        <v>AE</v>
      </c>
      <c r="H81" s="32">
        <v>50000</v>
      </c>
      <c r="I81" s="32">
        <v>68000</v>
      </c>
      <c r="J81" s="59">
        <f t="shared" si="7"/>
        <v>1.36</v>
      </c>
      <c r="K81" s="50">
        <f t="shared" si="8"/>
        <v>18000</v>
      </c>
    </row>
    <row r="82" spans="1:11" ht="15" customHeight="1" x14ac:dyDescent="0.35">
      <c r="A82" s="52" t="str">
        <f t="shared" si="6"/>
        <v>R01104</v>
      </c>
      <c r="B82" s="25" t="s">
        <v>157</v>
      </c>
      <c r="C82" s="52" t="str">
        <f>VLOOKUP(B82,rep_roster!$A:$B,2,0)</f>
        <v>Ryan Thompson</v>
      </c>
      <c r="D82" s="25">
        <v>4</v>
      </c>
      <c r="E82" s="61" t="str">
        <f>INDEX({"Jan","Feb","Mar","Apr","May","Jun","Jul","Aug","Sep","Oct","Nov","Dec"},D82)</f>
        <v>Apr</v>
      </c>
      <c r="F82" s="61" t="str">
        <f>VLOOKUP(B82,rep_roster!$A:$D,4,0)</f>
        <v>Mid-Market</v>
      </c>
      <c r="G82" s="61" t="str">
        <f>VLOOKUP(B82,rep_roster!$A:$C,3,0)</f>
        <v>AE</v>
      </c>
      <c r="H82" s="38">
        <v>50000</v>
      </c>
      <c r="I82" s="38">
        <v>54000</v>
      </c>
      <c r="J82" s="62">
        <f t="shared" si="7"/>
        <v>1.08</v>
      </c>
      <c r="K82" s="53">
        <f t="shared" si="8"/>
        <v>4000</v>
      </c>
    </row>
    <row r="83" spans="1:11" ht="15" customHeight="1" x14ac:dyDescent="0.35">
      <c r="A83" s="49" t="str">
        <f t="shared" si="6"/>
        <v>R01105</v>
      </c>
      <c r="B83" s="22" t="s">
        <v>157</v>
      </c>
      <c r="C83" s="49" t="str">
        <f>VLOOKUP(B83,rep_roster!$A:$B,2,0)</f>
        <v>Ryan Thompson</v>
      </c>
      <c r="D83" s="22">
        <v>5</v>
      </c>
      <c r="E83" s="58" t="str">
        <f>INDEX({"Jan","Feb","Mar","Apr","May","Jun","Jul","Aug","Sep","Oct","Nov","Dec"},D83)</f>
        <v>May</v>
      </c>
      <c r="F83" s="58" t="str">
        <f>VLOOKUP(B83,rep_roster!$A:$D,4,0)</f>
        <v>Mid-Market</v>
      </c>
      <c r="G83" s="58" t="str">
        <f>VLOOKUP(B83,rep_roster!$A:$C,3,0)</f>
        <v>AE</v>
      </c>
      <c r="H83" s="32">
        <v>50000</v>
      </c>
      <c r="I83" s="32">
        <v>52000</v>
      </c>
      <c r="J83" s="59">
        <f t="shared" si="7"/>
        <v>1.04</v>
      </c>
      <c r="K83" s="50">
        <f t="shared" si="8"/>
        <v>2000</v>
      </c>
    </row>
    <row r="84" spans="1:11" ht="15" customHeight="1" x14ac:dyDescent="0.35">
      <c r="A84" s="52" t="str">
        <f t="shared" si="6"/>
        <v>R01106</v>
      </c>
      <c r="B84" s="25" t="s">
        <v>157</v>
      </c>
      <c r="C84" s="52" t="str">
        <f>VLOOKUP(B84,rep_roster!$A:$B,2,0)</f>
        <v>Ryan Thompson</v>
      </c>
      <c r="D84" s="25">
        <v>6</v>
      </c>
      <c r="E84" s="61" t="str">
        <f>INDEX({"Jan","Feb","Mar","Apr","May","Jun","Jul","Aug","Sep","Oct","Nov","Dec"},D84)</f>
        <v>Jun</v>
      </c>
      <c r="F84" s="61" t="str">
        <f>VLOOKUP(B84,rep_roster!$A:$D,4,0)</f>
        <v>Mid-Market</v>
      </c>
      <c r="G84" s="61" t="str">
        <f>VLOOKUP(B84,rep_roster!$A:$C,3,0)</f>
        <v>AE</v>
      </c>
      <c r="H84" s="38">
        <v>50000</v>
      </c>
      <c r="I84" s="38">
        <v>57000</v>
      </c>
      <c r="J84" s="62">
        <f t="shared" si="7"/>
        <v>1.1399999999999999</v>
      </c>
      <c r="K84" s="53">
        <f t="shared" si="8"/>
        <v>7000</v>
      </c>
    </row>
    <row r="85" spans="1:11" ht="15" customHeight="1" x14ac:dyDescent="0.35">
      <c r="A85" s="49" t="str">
        <f t="shared" si="6"/>
        <v>R01107</v>
      </c>
      <c r="B85" s="22" t="s">
        <v>157</v>
      </c>
      <c r="C85" s="49" t="str">
        <f>VLOOKUP(B85,rep_roster!$A:$B,2,0)</f>
        <v>Ryan Thompson</v>
      </c>
      <c r="D85" s="22">
        <v>7</v>
      </c>
      <c r="E85" s="58" t="str">
        <f>INDEX({"Jan","Feb","Mar","Apr","May","Jun","Jul","Aug","Sep","Oct","Nov","Dec"},D85)</f>
        <v>Jul</v>
      </c>
      <c r="F85" s="58" t="str">
        <f>VLOOKUP(B85,rep_roster!$A:$D,4,0)</f>
        <v>Mid-Market</v>
      </c>
      <c r="G85" s="58" t="str">
        <f>VLOOKUP(B85,rep_roster!$A:$C,3,0)</f>
        <v>AE</v>
      </c>
      <c r="H85" s="32">
        <v>50000</v>
      </c>
      <c r="I85" s="32">
        <v>44000</v>
      </c>
      <c r="J85" s="59">
        <f t="shared" si="7"/>
        <v>0.88</v>
      </c>
      <c r="K85" s="50">
        <f t="shared" si="8"/>
        <v>-6000</v>
      </c>
    </row>
    <row r="86" spans="1:11" ht="15" customHeight="1" x14ac:dyDescent="0.35">
      <c r="A86" s="52" t="str">
        <f t="shared" si="6"/>
        <v>R01108</v>
      </c>
      <c r="B86" s="25" t="s">
        <v>157</v>
      </c>
      <c r="C86" s="52" t="str">
        <f>VLOOKUP(B86,rep_roster!$A:$B,2,0)</f>
        <v>Ryan Thompson</v>
      </c>
      <c r="D86" s="25">
        <v>8</v>
      </c>
      <c r="E86" s="61" t="str">
        <f>INDEX({"Jan","Feb","Mar","Apr","May","Jun","Jul","Aug","Sep","Oct","Nov","Dec"},D86)</f>
        <v>Aug</v>
      </c>
      <c r="F86" s="61" t="str">
        <f>VLOOKUP(B86,rep_roster!$A:$D,4,0)</f>
        <v>Mid-Market</v>
      </c>
      <c r="G86" s="61" t="str">
        <f>VLOOKUP(B86,rep_roster!$A:$C,3,0)</f>
        <v>AE</v>
      </c>
      <c r="H86" s="38">
        <v>50000</v>
      </c>
      <c r="I86" s="38">
        <v>40000</v>
      </c>
      <c r="J86" s="62">
        <f t="shared" si="7"/>
        <v>0.8</v>
      </c>
      <c r="K86" s="53">
        <f t="shared" si="8"/>
        <v>-10000</v>
      </c>
    </row>
    <row r="87" spans="1:11" ht="15" customHeight="1" x14ac:dyDescent="0.35">
      <c r="A87" s="49" t="str">
        <f t="shared" si="6"/>
        <v>R01109</v>
      </c>
      <c r="B87" s="22" t="s">
        <v>157</v>
      </c>
      <c r="C87" s="49" t="str">
        <f>VLOOKUP(B87,rep_roster!$A:$B,2,0)</f>
        <v>Ryan Thompson</v>
      </c>
      <c r="D87" s="22">
        <v>9</v>
      </c>
      <c r="E87" s="58" t="str">
        <f>INDEX({"Jan","Feb","Mar","Apr","May","Jun","Jul","Aug","Sep","Oct","Nov","Dec"},D87)</f>
        <v>Sep</v>
      </c>
      <c r="F87" s="58" t="str">
        <f>VLOOKUP(B87,rep_roster!$A:$D,4,0)</f>
        <v>Mid-Market</v>
      </c>
      <c r="G87" s="58" t="str">
        <f>VLOOKUP(B87,rep_roster!$A:$C,3,0)</f>
        <v>AE</v>
      </c>
      <c r="H87" s="32">
        <v>50000</v>
      </c>
      <c r="I87" s="32">
        <v>48000</v>
      </c>
      <c r="J87" s="59">
        <f t="shared" si="7"/>
        <v>0.96</v>
      </c>
      <c r="K87" s="50">
        <f t="shared" si="8"/>
        <v>-2000</v>
      </c>
    </row>
    <row r="88" spans="1:11" ht="15" customHeight="1" x14ac:dyDescent="0.35">
      <c r="A88" s="52" t="str">
        <f t="shared" si="6"/>
        <v>R01110</v>
      </c>
      <c r="B88" s="25" t="s">
        <v>157</v>
      </c>
      <c r="C88" s="52" t="str">
        <f>VLOOKUP(B88,rep_roster!$A:$B,2,0)</f>
        <v>Ryan Thompson</v>
      </c>
      <c r="D88" s="25">
        <v>10</v>
      </c>
      <c r="E88" s="61" t="str">
        <f>INDEX({"Jan","Feb","Mar","Apr","May","Jun","Jul","Aug","Sep","Oct","Nov","Dec"},D88)</f>
        <v>Oct</v>
      </c>
      <c r="F88" s="61" t="str">
        <f>VLOOKUP(B88,rep_roster!$A:$D,4,0)</f>
        <v>Mid-Market</v>
      </c>
      <c r="G88" s="61" t="str">
        <f>VLOOKUP(B88,rep_roster!$A:$C,3,0)</f>
        <v>AE</v>
      </c>
      <c r="H88" s="38">
        <v>50000</v>
      </c>
      <c r="I88" s="38">
        <v>38000</v>
      </c>
      <c r="J88" s="62">
        <f t="shared" si="7"/>
        <v>0.76</v>
      </c>
      <c r="K88" s="53">
        <f t="shared" si="8"/>
        <v>-12000</v>
      </c>
    </row>
    <row r="89" spans="1:11" ht="15" customHeight="1" x14ac:dyDescent="0.35">
      <c r="A89" s="49" t="str">
        <f t="shared" si="6"/>
        <v>R01111</v>
      </c>
      <c r="B89" s="22" t="s">
        <v>157</v>
      </c>
      <c r="C89" s="49" t="str">
        <f>VLOOKUP(B89,rep_roster!$A:$B,2,0)</f>
        <v>Ryan Thompson</v>
      </c>
      <c r="D89" s="22">
        <v>11</v>
      </c>
      <c r="E89" s="58" t="str">
        <f>INDEX({"Jan","Feb","Mar","Apr","May","Jun","Jul","Aug","Sep","Oct","Nov","Dec"},D89)</f>
        <v>Nov</v>
      </c>
      <c r="F89" s="58" t="str">
        <f>VLOOKUP(B89,rep_roster!$A:$D,4,0)</f>
        <v>Mid-Market</v>
      </c>
      <c r="G89" s="58" t="str">
        <f>VLOOKUP(B89,rep_roster!$A:$C,3,0)</f>
        <v>AE</v>
      </c>
      <c r="H89" s="32">
        <v>50000</v>
      </c>
      <c r="I89" s="32">
        <v>42000</v>
      </c>
      <c r="J89" s="59">
        <f t="shared" si="7"/>
        <v>0.84</v>
      </c>
      <c r="K89" s="50">
        <f t="shared" si="8"/>
        <v>-8000</v>
      </c>
    </row>
    <row r="90" spans="1:11" ht="15" customHeight="1" x14ac:dyDescent="0.35">
      <c r="A90" s="52" t="str">
        <f t="shared" si="6"/>
        <v>R01112</v>
      </c>
      <c r="B90" s="25" t="s">
        <v>157</v>
      </c>
      <c r="C90" s="52" t="str">
        <f>VLOOKUP(B90,rep_roster!$A:$B,2,0)</f>
        <v>Ryan Thompson</v>
      </c>
      <c r="D90" s="25">
        <v>12</v>
      </c>
      <c r="E90" s="61" t="str">
        <f>INDEX({"Jan","Feb","Mar","Apr","May","Jun","Jul","Aug","Sep","Oct","Nov","Dec"},D90)</f>
        <v>Dec</v>
      </c>
      <c r="F90" s="61" t="str">
        <f>VLOOKUP(B90,rep_roster!$A:$D,4,0)</f>
        <v>Mid-Market</v>
      </c>
      <c r="G90" s="61" t="str">
        <f>VLOOKUP(B90,rep_roster!$A:$C,3,0)</f>
        <v>AE</v>
      </c>
      <c r="H90" s="38">
        <v>50000</v>
      </c>
      <c r="I90" s="38">
        <v>52000</v>
      </c>
      <c r="J90" s="62">
        <f t="shared" si="7"/>
        <v>1.04</v>
      </c>
      <c r="K90" s="53">
        <f t="shared" si="8"/>
        <v>2000</v>
      </c>
    </row>
    <row r="91" spans="1:11" ht="15" customHeight="1" x14ac:dyDescent="0.35">
      <c r="A91" s="49" t="str">
        <f t="shared" si="6"/>
        <v>R01201</v>
      </c>
      <c r="B91" s="22" t="s">
        <v>159</v>
      </c>
      <c r="C91" s="49" t="str">
        <f>VLOOKUP(B91,rep_roster!$A:$B,2,0)</f>
        <v>Samantha Lee</v>
      </c>
      <c r="D91" s="22">
        <v>1</v>
      </c>
      <c r="E91" s="58" t="str">
        <f>INDEX({"Jan","Feb","Mar","Apr","May","Jun","Jul","Aug","Sep","Oct","Nov","Dec"},D91)</f>
        <v>Jan</v>
      </c>
      <c r="F91" s="58" t="str">
        <f>VLOOKUP(B91,rep_roster!$A:$D,4,0)</f>
        <v>Mid-Market</v>
      </c>
      <c r="G91" s="58" t="str">
        <f>VLOOKUP(B91,rep_roster!$A:$C,3,0)</f>
        <v>AE</v>
      </c>
      <c r="H91" s="32">
        <v>50000</v>
      </c>
      <c r="I91" s="32">
        <v>68000</v>
      </c>
      <c r="J91" s="59">
        <f t="shared" si="7"/>
        <v>1.36</v>
      </c>
      <c r="K91" s="50">
        <f t="shared" si="8"/>
        <v>18000</v>
      </c>
    </row>
    <row r="92" spans="1:11" ht="15" customHeight="1" x14ac:dyDescent="0.35">
      <c r="A92" s="52" t="str">
        <f t="shared" si="6"/>
        <v>R01202</v>
      </c>
      <c r="B92" s="25" t="s">
        <v>159</v>
      </c>
      <c r="C92" s="52" t="str">
        <f>VLOOKUP(B92,rep_roster!$A:$B,2,0)</f>
        <v>Samantha Lee</v>
      </c>
      <c r="D92" s="25">
        <v>2</v>
      </c>
      <c r="E92" s="61" t="str">
        <f>INDEX({"Jan","Feb","Mar","Apr","May","Jun","Jul","Aug","Sep","Oct","Nov","Dec"},D92)</f>
        <v>Feb</v>
      </c>
      <c r="F92" s="61" t="str">
        <f>VLOOKUP(B92,rep_roster!$A:$D,4,0)</f>
        <v>Mid-Market</v>
      </c>
      <c r="G92" s="61" t="str">
        <f>VLOOKUP(B92,rep_roster!$A:$C,3,0)</f>
        <v>AE</v>
      </c>
      <c r="H92" s="38">
        <v>50000</v>
      </c>
      <c r="I92" s="38">
        <v>64000</v>
      </c>
      <c r="J92" s="62">
        <f t="shared" si="7"/>
        <v>1.28</v>
      </c>
      <c r="K92" s="53">
        <f t="shared" si="8"/>
        <v>14000</v>
      </c>
    </row>
    <row r="93" spans="1:11" ht="15" customHeight="1" x14ac:dyDescent="0.35">
      <c r="A93" s="49" t="str">
        <f t="shared" si="6"/>
        <v>R01203</v>
      </c>
      <c r="B93" s="22" t="s">
        <v>159</v>
      </c>
      <c r="C93" s="49" t="str">
        <f>VLOOKUP(B93,rep_roster!$A:$B,2,0)</f>
        <v>Samantha Lee</v>
      </c>
      <c r="D93" s="22">
        <v>3</v>
      </c>
      <c r="E93" s="58" t="str">
        <f>INDEX({"Jan","Feb","Mar","Apr","May","Jun","Jul","Aug","Sep","Oct","Nov","Dec"},D93)</f>
        <v>Mar</v>
      </c>
      <c r="F93" s="58" t="str">
        <f>VLOOKUP(B93,rep_roster!$A:$D,4,0)</f>
        <v>Mid-Market</v>
      </c>
      <c r="G93" s="58" t="str">
        <f>VLOOKUP(B93,rep_roster!$A:$C,3,0)</f>
        <v>AE</v>
      </c>
      <c r="H93" s="32">
        <v>50000</v>
      </c>
      <c r="I93" s="32">
        <v>72000</v>
      </c>
      <c r="J93" s="59">
        <f t="shared" si="7"/>
        <v>1.44</v>
      </c>
      <c r="K93" s="50">
        <f t="shared" si="8"/>
        <v>22000</v>
      </c>
    </row>
    <row r="94" spans="1:11" ht="15" customHeight="1" x14ac:dyDescent="0.35">
      <c r="A94" s="52" t="str">
        <f t="shared" si="6"/>
        <v>R01204</v>
      </c>
      <c r="B94" s="25" t="s">
        <v>159</v>
      </c>
      <c r="C94" s="52" t="str">
        <f>VLOOKUP(B94,rep_roster!$A:$B,2,0)</f>
        <v>Samantha Lee</v>
      </c>
      <c r="D94" s="25">
        <v>4</v>
      </c>
      <c r="E94" s="61" t="str">
        <f>INDEX({"Jan","Feb","Mar","Apr","May","Jun","Jul","Aug","Sep","Oct","Nov","Dec"},D94)</f>
        <v>Apr</v>
      </c>
      <c r="F94" s="61" t="str">
        <f>VLOOKUP(B94,rep_roster!$A:$D,4,0)</f>
        <v>Mid-Market</v>
      </c>
      <c r="G94" s="61" t="str">
        <f>VLOOKUP(B94,rep_roster!$A:$C,3,0)</f>
        <v>AE</v>
      </c>
      <c r="H94" s="38">
        <v>50000</v>
      </c>
      <c r="I94" s="38">
        <v>58000</v>
      </c>
      <c r="J94" s="62">
        <f t="shared" si="7"/>
        <v>1.1599999999999999</v>
      </c>
      <c r="K94" s="53">
        <f t="shared" si="8"/>
        <v>8000</v>
      </c>
    </row>
    <row r="95" spans="1:11" ht="15" customHeight="1" x14ac:dyDescent="0.35">
      <c r="A95" s="49" t="str">
        <f t="shared" si="6"/>
        <v>R01205</v>
      </c>
      <c r="B95" s="22" t="s">
        <v>159</v>
      </c>
      <c r="C95" s="49" t="str">
        <f>VLOOKUP(B95,rep_roster!$A:$B,2,0)</f>
        <v>Samantha Lee</v>
      </c>
      <c r="D95" s="22">
        <v>5</v>
      </c>
      <c r="E95" s="58" t="str">
        <f>INDEX({"Jan","Feb","Mar","Apr","May","Jun","Jul","Aug","Sep","Oct","Nov","Dec"},D95)</f>
        <v>May</v>
      </c>
      <c r="F95" s="58" t="str">
        <f>VLOOKUP(B95,rep_roster!$A:$D,4,0)</f>
        <v>Mid-Market</v>
      </c>
      <c r="G95" s="58" t="str">
        <f>VLOOKUP(B95,rep_roster!$A:$C,3,0)</f>
        <v>AE</v>
      </c>
      <c r="H95" s="32">
        <v>50000</v>
      </c>
      <c r="I95" s="32">
        <v>62000</v>
      </c>
      <c r="J95" s="59">
        <f t="shared" si="7"/>
        <v>1.24</v>
      </c>
      <c r="K95" s="50">
        <f t="shared" si="8"/>
        <v>12000</v>
      </c>
    </row>
    <row r="96" spans="1:11" ht="15" customHeight="1" x14ac:dyDescent="0.35">
      <c r="A96" s="52" t="str">
        <f t="shared" si="6"/>
        <v>R01206</v>
      </c>
      <c r="B96" s="25" t="s">
        <v>159</v>
      </c>
      <c r="C96" s="52" t="str">
        <f>VLOOKUP(B96,rep_roster!$A:$B,2,0)</f>
        <v>Samantha Lee</v>
      </c>
      <c r="D96" s="25">
        <v>6</v>
      </c>
      <c r="E96" s="61" t="str">
        <f>INDEX({"Jan","Feb","Mar","Apr","May","Jun","Jul","Aug","Sep","Oct","Nov","Dec"},D96)</f>
        <v>Jun</v>
      </c>
      <c r="F96" s="61" t="str">
        <f>VLOOKUP(B96,rep_roster!$A:$D,4,0)</f>
        <v>Mid-Market</v>
      </c>
      <c r="G96" s="61" t="str">
        <f>VLOOKUP(B96,rep_roster!$A:$C,3,0)</f>
        <v>AE</v>
      </c>
      <c r="H96" s="38">
        <v>50000</v>
      </c>
      <c r="I96" s="38">
        <v>55000</v>
      </c>
      <c r="J96" s="62">
        <f t="shared" si="7"/>
        <v>1.1000000000000001</v>
      </c>
      <c r="K96" s="53">
        <f t="shared" si="8"/>
        <v>5000</v>
      </c>
    </row>
    <row r="97" spans="1:11" ht="15" customHeight="1" x14ac:dyDescent="0.35">
      <c r="A97" s="49" t="str">
        <f t="shared" si="6"/>
        <v>R01207</v>
      </c>
      <c r="B97" s="22" t="s">
        <v>159</v>
      </c>
      <c r="C97" s="49" t="str">
        <f>VLOOKUP(B97,rep_roster!$A:$B,2,0)</f>
        <v>Samantha Lee</v>
      </c>
      <c r="D97" s="22">
        <v>7</v>
      </c>
      <c r="E97" s="58" t="str">
        <f>INDEX({"Jan","Feb","Mar","Apr","May","Jun","Jul","Aug","Sep","Oct","Nov","Dec"},D97)</f>
        <v>Jul</v>
      </c>
      <c r="F97" s="58" t="str">
        <f>VLOOKUP(B97,rep_roster!$A:$D,4,0)</f>
        <v>Mid-Market</v>
      </c>
      <c r="G97" s="58" t="str">
        <f>VLOOKUP(B97,rep_roster!$A:$C,3,0)</f>
        <v>AE</v>
      </c>
      <c r="H97" s="32">
        <v>50000</v>
      </c>
      <c r="I97" s="32">
        <v>45000</v>
      </c>
      <c r="J97" s="59">
        <f t="shared" si="7"/>
        <v>0.9</v>
      </c>
      <c r="K97" s="50">
        <f t="shared" si="8"/>
        <v>-5000</v>
      </c>
    </row>
    <row r="98" spans="1:11" ht="15" customHeight="1" x14ac:dyDescent="0.35">
      <c r="A98" s="52" t="str">
        <f t="shared" si="6"/>
        <v>R01208</v>
      </c>
      <c r="B98" s="25" t="s">
        <v>159</v>
      </c>
      <c r="C98" s="52" t="str">
        <f>VLOOKUP(B98,rep_roster!$A:$B,2,0)</f>
        <v>Samantha Lee</v>
      </c>
      <c r="D98" s="25">
        <v>8</v>
      </c>
      <c r="E98" s="61" t="str">
        <f>INDEX({"Jan","Feb","Mar","Apr","May","Jun","Jul","Aug","Sep","Oct","Nov","Dec"},D98)</f>
        <v>Aug</v>
      </c>
      <c r="F98" s="61" t="str">
        <f>VLOOKUP(B98,rep_roster!$A:$D,4,0)</f>
        <v>Mid-Market</v>
      </c>
      <c r="G98" s="61" t="str">
        <f>VLOOKUP(B98,rep_roster!$A:$C,3,0)</f>
        <v>AE</v>
      </c>
      <c r="H98" s="38">
        <v>50000</v>
      </c>
      <c r="I98" s="38">
        <v>42000</v>
      </c>
      <c r="J98" s="62">
        <f t="shared" si="7"/>
        <v>0.84</v>
      </c>
      <c r="K98" s="53">
        <f t="shared" si="8"/>
        <v>-8000</v>
      </c>
    </row>
    <row r="99" spans="1:11" ht="15" customHeight="1" x14ac:dyDescent="0.35">
      <c r="A99" s="49" t="str">
        <f t="shared" si="6"/>
        <v>R01209</v>
      </c>
      <c r="B99" s="22" t="s">
        <v>159</v>
      </c>
      <c r="C99" s="49" t="str">
        <f>VLOOKUP(B99,rep_roster!$A:$B,2,0)</f>
        <v>Samantha Lee</v>
      </c>
      <c r="D99" s="22">
        <v>9</v>
      </c>
      <c r="E99" s="58" t="str">
        <f>INDEX({"Jan","Feb","Mar","Apr","May","Jun","Jul","Aug","Sep","Oct","Nov","Dec"},D99)</f>
        <v>Sep</v>
      </c>
      <c r="F99" s="58" t="str">
        <f>VLOOKUP(B99,rep_roster!$A:$D,4,0)</f>
        <v>Mid-Market</v>
      </c>
      <c r="G99" s="58" t="str">
        <f>VLOOKUP(B99,rep_roster!$A:$C,3,0)</f>
        <v>AE</v>
      </c>
      <c r="H99" s="32">
        <v>50000</v>
      </c>
      <c r="I99" s="32">
        <v>50000</v>
      </c>
      <c r="J99" s="59">
        <f t="shared" si="7"/>
        <v>1</v>
      </c>
      <c r="K99" s="50">
        <f t="shared" si="8"/>
        <v>0</v>
      </c>
    </row>
    <row r="100" spans="1:11" ht="15" customHeight="1" x14ac:dyDescent="0.35">
      <c r="A100" s="52" t="str">
        <f t="shared" si="6"/>
        <v>R01210</v>
      </c>
      <c r="B100" s="25" t="s">
        <v>159</v>
      </c>
      <c r="C100" s="52" t="str">
        <f>VLOOKUP(B100,rep_roster!$A:$B,2,0)</f>
        <v>Samantha Lee</v>
      </c>
      <c r="D100" s="25">
        <v>10</v>
      </c>
      <c r="E100" s="61" t="str">
        <f>INDEX({"Jan","Feb","Mar","Apr","May","Jun","Jul","Aug","Sep","Oct","Nov","Dec"},D100)</f>
        <v>Oct</v>
      </c>
      <c r="F100" s="61" t="str">
        <f>VLOOKUP(B100,rep_roster!$A:$D,4,0)</f>
        <v>Mid-Market</v>
      </c>
      <c r="G100" s="61" t="str">
        <f>VLOOKUP(B100,rep_roster!$A:$C,3,0)</f>
        <v>AE</v>
      </c>
      <c r="H100" s="38">
        <v>50000</v>
      </c>
      <c r="I100" s="38">
        <v>40000</v>
      </c>
      <c r="J100" s="62">
        <f t="shared" si="7"/>
        <v>0.8</v>
      </c>
      <c r="K100" s="53">
        <f t="shared" si="8"/>
        <v>-10000</v>
      </c>
    </row>
    <row r="101" spans="1:11" ht="15" customHeight="1" x14ac:dyDescent="0.35">
      <c r="A101" s="49" t="str">
        <f t="shared" ref="A101:A132" si="9">B101&amp;TEXT(D101,"00")</f>
        <v>R01211</v>
      </c>
      <c r="B101" s="22" t="s">
        <v>159</v>
      </c>
      <c r="C101" s="49" t="str">
        <f>VLOOKUP(B101,rep_roster!$A:$B,2,0)</f>
        <v>Samantha Lee</v>
      </c>
      <c r="D101" s="22">
        <v>11</v>
      </c>
      <c r="E101" s="58" t="str">
        <f>INDEX({"Jan","Feb","Mar","Apr","May","Jun","Jul","Aug","Sep","Oct","Nov","Dec"},D101)</f>
        <v>Nov</v>
      </c>
      <c r="F101" s="58" t="str">
        <f>VLOOKUP(B101,rep_roster!$A:$D,4,0)</f>
        <v>Mid-Market</v>
      </c>
      <c r="G101" s="58" t="str">
        <f>VLOOKUP(B101,rep_roster!$A:$C,3,0)</f>
        <v>AE</v>
      </c>
      <c r="H101" s="32">
        <v>50000</v>
      </c>
      <c r="I101" s="32">
        <v>45000</v>
      </c>
      <c r="J101" s="59">
        <f t="shared" ref="J101:J132" si="10">IF(H101&gt;0,I101/H101,0)</f>
        <v>0.9</v>
      </c>
      <c r="K101" s="50">
        <f t="shared" ref="K101:K132" si="11">I101-H101</f>
        <v>-5000</v>
      </c>
    </row>
    <row r="102" spans="1:11" ht="15" customHeight="1" x14ac:dyDescent="0.35">
      <c r="A102" s="52" t="str">
        <f t="shared" si="9"/>
        <v>R01212</v>
      </c>
      <c r="B102" s="25" t="s">
        <v>159</v>
      </c>
      <c r="C102" s="52" t="str">
        <f>VLOOKUP(B102,rep_roster!$A:$B,2,0)</f>
        <v>Samantha Lee</v>
      </c>
      <c r="D102" s="25">
        <v>12</v>
      </c>
      <c r="E102" s="61" t="str">
        <f>INDEX({"Jan","Feb","Mar","Apr","May","Jun","Jul","Aug","Sep","Oct","Nov","Dec"},D102)</f>
        <v>Dec</v>
      </c>
      <c r="F102" s="61" t="str">
        <f>VLOOKUP(B102,rep_roster!$A:$D,4,0)</f>
        <v>Mid-Market</v>
      </c>
      <c r="G102" s="61" t="str">
        <f>VLOOKUP(B102,rep_roster!$A:$C,3,0)</f>
        <v>AE</v>
      </c>
      <c r="H102" s="38">
        <v>50000</v>
      </c>
      <c r="I102" s="38">
        <v>58000</v>
      </c>
      <c r="J102" s="62">
        <f t="shared" si="10"/>
        <v>1.1599999999999999</v>
      </c>
      <c r="K102" s="53">
        <f t="shared" si="11"/>
        <v>8000</v>
      </c>
    </row>
    <row r="103" spans="1:11" ht="15" customHeight="1" x14ac:dyDescent="0.35">
      <c r="A103" s="49" t="str">
        <f t="shared" si="9"/>
        <v>R01301</v>
      </c>
      <c r="B103" s="22" t="s">
        <v>161</v>
      </c>
      <c r="C103" s="49" t="str">
        <f>VLOOKUP(B103,rep_roster!$A:$B,2,0)</f>
        <v>Daniel Foster</v>
      </c>
      <c r="D103" s="22">
        <v>1</v>
      </c>
      <c r="E103" s="58" t="str">
        <f>INDEX({"Jan","Feb","Mar","Apr","May","Jun","Jul","Aug","Sep","Oct","Nov","Dec"},D103)</f>
        <v>Jan</v>
      </c>
      <c r="F103" s="58" t="str">
        <f>VLOOKUP(B103,rep_roster!$A:$D,4,0)</f>
        <v>Mid-Market</v>
      </c>
      <c r="G103" s="58" t="str">
        <f>VLOOKUP(B103,rep_roster!$A:$C,3,0)</f>
        <v>CSM</v>
      </c>
      <c r="H103" s="32">
        <v>15000</v>
      </c>
      <c r="I103" s="32">
        <v>20000</v>
      </c>
      <c r="J103" s="59">
        <f t="shared" si="10"/>
        <v>1.3333333333333333</v>
      </c>
      <c r="K103" s="50">
        <f t="shared" si="11"/>
        <v>5000</v>
      </c>
    </row>
    <row r="104" spans="1:11" ht="15" customHeight="1" x14ac:dyDescent="0.35">
      <c r="A104" s="52" t="str">
        <f t="shared" si="9"/>
        <v>R01302</v>
      </c>
      <c r="B104" s="25" t="s">
        <v>161</v>
      </c>
      <c r="C104" s="52" t="str">
        <f>VLOOKUP(B104,rep_roster!$A:$B,2,0)</f>
        <v>Daniel Foster</v>
      </c>
      <c r="D104" s="25">
        <v>2</v>
      </c>
      <c r="E104" s="61" t="str">
        <f>INDEX({"Jan","Feb","Mar","Apr","May","Jun","Jul","Aug","Sep","Oct","Nov","Dec"},D104)</f>
        <v>Feb</v>
      </c>
      <c r="F104" s="61" t="str">
        <f>VLOOKUP(B104,rep_roster!$A:$D,4,0)</f>
        <v>Mid-Market</v>
      </c>
      <c r="G104" s="61" t="str">
        <f>VLOOKUP(B104,rep_roster!$A:$C,3,0)</f>
        <v>CSM</v>
      </c>
      <c r="H104" s="38">
        <v>15000</v>
      </c>
      <c r="I104" s="38">
        <v>18000</v>
      </c>
      <c r="J104" s="62">
        <f t="shared" si="10"/>
        <v>1.2</v>
      </c>
      <c r="K104" s="53">
        <f t="shared" si="11"/>
        <v>3000</v>
      </c>
    </row>
    <row r="105" spans="1:11" ht="15" customHeight="1" x14ac:dyDescent="0.35">
      <c r="A105" s="49" t="str">
        <f t="shared" si="9"/>
        <v>R01303</v>
      </c>
      <c r="B105" s="22" t="s">
        <v>161</v>
      </c>
      <c r="C105" s="49" t="str">
        <f>VLOOKUP(B105,rep_roster!$A:$B,2,0)</f>
        <v>Daniel Foster</v>
      </c>
      <c r="D105" s="22">
        <v>3</v>
      </c>
      <c r="E105" s="58" t="str">
        <f>INDEX({"Jan","Feb","Mar","Apr","May","Jun","Jul","Aug","Sep","Oct","Nov","Dec"},D105)</f>
        <v>Mar</v>
      </c>
      <c r="F105" s="58" t="str">
        <f>VLOOKUP(B105,rep_roster!$A:$D,4,0)</f>
        <v>Mid-Market</v>
      </c>
      <c r="G105" s="58" t="str">
        <f>VLOOKUP(B105,rep_roster!$A:$C,3,0)</f>
        <v>CSM</v>
      </c>
      <c r="H105" s="32">
        <v>15000</v>
      </c>
      <c r="I105" s="32">
        <v>22000</v>
      </c>
      <c r="J105" s="59">
        <f t="shared" si="10"/>
        <v>1.4666666666666666</v>
      </c>
      <c r="K105" s="50">
        <f t="shared" si="11"/>
        <v>7000</v>
      </c>
    </row>
    <row r="106" spans="1:11" ht="15" customHeight="1" x14ac:dyDescent="0.35">
      <c r="A106" s="52" t="str">
        <f t="shared" si="9"/>
        <v>R01304</v>
      </c>
      <c r="B106" s="25" t="s">
        <v>161</v>
      </c>
      <c r="C106" s="52" t="str">
        <f>VLOOKUP(B106,rep_roster!$A:$B,2,0)</f>
        <v>Daniel Foster</v>
      </c>
      <c r="D106" s="25">
        <v>4</v>
      </c>
      <c r="E106" s="61" t="str">
        <f>INDEX({"Jan","Feb","Mar","Apr","May","Jun","Jul","Aug","Sep","Oct","Nov","Dec"},D106)</f>
        <v>Apr</v>
      </c>
      <c r="F106" s="61" t="str">
        <f>VLOOKUP(B106,rep_roster!$A:$D,4,0)</f>
        <v>Mid-Market</v>
      </c>
      <c r="G106" s="61" t="str">
        <f>VLOOKUP(B106,rep_roster!$A:$C,3,0)</f>
        <v>CSM</v>
      </c>
      <c r="H106" s="38">
        <v>15000</v>
      </c>
      <c r="I106" s="38">
        <v>17000</v>
      </c>
      <c r="J106" s="62">
        <f t="shared" si="10"/>
        <v>1.1333333333333333</v>
      </c>
      <c r="K106" s="53">
        <f t="shared" si="11"/>
        <v>2000</v>
      </c>
    </row>
    <row r="107" spans="1:11" ht="15" customHeight="1" x14ac:dyDescent="0.35">
      <c r="A107" s="49" t="str">
        <f t="shared" si="9"/>
        <v>R01305</v>
      </c>
      <c r="B107" s="22" t="s">
        <v>161</v>
      </c>
      <c r="C107" s="49" t="str">
        <f>VLOOKUP(B107,rep_roster!$A:$B,2,0)</f>
        <v>Daniel Foster</v>
      </c>
      <c r="D107" s="22">
        <v>5</v>
      </c>
      <c r="E107" s="58" t="str">
        <f>INDEX({"Jan","Feb","Mar","Apr","May","Jun","Jul","Aug","Sep","Oct","Nov","Dec"},D107)</f>
        <v>May</v>
      </c>
      <c r="F107" s="58" t="str">
        <f>VLOOKUP(B107,rep_roster!$A:$D,4,0)</f>
        <v>Mid-Market</v>
      </c>
      <c r="G107" s="58" t="str">
        <f>VLOOKUP(B107,rep_roster!$A:$C,3,0)</f>
        <v>CSM</v>
      </c>
      <c r="H107" s="32">
        <v>15000</v>
      </c>
      <c r="I107" s="32">
        <v>16000</v>
      </c>
      <c r="J107" s="59">
        <f t="shared" si="10"/>
        <v>1.0666666666666667</v>
      </c>
      <c r="K107" s="50">
        <f t="shared" si="11"/>
        <v>1000</v>
      </c>
    </row>
    <row r="108" spans="1:11" ht="15" customHeight="1" x14ac:dyDescent="0.35">
      <c r="A108" s="52" t="str">
        <f t="shared" si="9"/>
        <v>R01306</v>
      </c>
      <c r="B108" s="25" t="s">
        <v>161</v>
      </c>
      <c r="C108" s="52" t="str">
        <f>VLOOKUP(B108,rep_roster!$A:$B,2,0)</f>
        <v>Daniel Foster</v>
      </c>
      <c r="D108" s="25">
        <v>6</v>
      </c>
      <c r="E108" s="61" t="str">
        <f>INDEX({"Jan","Feb","Mar","Apr","May","Jun","Jul","Aug","Sep","Oct","Nov","Dec"},D108)</f>
        <v>Jun</v>
      </c>
      <c r="F108" s="61" t="str">
        <f>VLOOKUP(B108,rep_roster!$A:$D,4,0)</f>
        <v>Mid-Market</v>
      </c>
      <c r="G108" s="61" t="str">
        <f>VLOOKUP(B108,rep_roster!$A:$C,3,0)</f>
        <v>CSM</v>
      </c>
      <c r="H108" s="38">
        <v>15000</v>
      </c>
      <c r="I108" s="38">
        <v>18000</v>
      </c>
      <c r="J108" s="62">
        <f t="shared" si="10"/>
        <v>1.2</v>
      </c>
      <c r="K108" s="53">
        <f t="shared" si="11"/>
        <v>3000</v>
      </c>
    </row>
    <row r="109" spans="1:11" ht="15" customHeight="1" x14ac:dyDescent="0.35">
      <c r="A109" s="49" t="str">
        <f t="shared" si="9"/>
        <v>R01307</v>
      </c>
      <c r="B109" s="22" t="s">
        <v>161</v>
      </c>
      <c r="C109" s="49" t="str">
        <f>VLOOKUP(B109,rep_roster!$A:$B,2,0)</f>
        <v>Daniel Foster</v>
      </c>
      <c r="D109" s="22">
        <v>7</v>
      </c>
      <c r="E109" s="58" t="str">
        <f>INDEX({"Jan","Feb","Mar","Apr","May","Jun","Jul","Aug","Sep","Oct","Nov","Dec"},D109)</f>
        <v>Jul</v>
      </c>
      <c r="F109" s="58" t="str">
        <f>VLOOKUP(B109,rep_roster!$A:$D,4,0)</f>
        <v>Mid-Market</v>
      </c>
      <c r="G109" s="58" t="str">
        <f>VLOOKUP(B109,rep_roster!$A:$C,3,0)</f>
        <v>CSM</v>
      </c>
      <c r="H109" s="32">
        <v>15000</v>
      </c>
      <c r="I109" s="32">
        <v>13000</v>
      </c>
      <c r="J109" s="59">
        <f t="shared" si="10"/>
        <v>0.8666666666666667</v>
      </c>
      <c r="K109" s="50">
        <f t="shared" si="11"/>
        <v>-2000</v>
      </c>
    </row>
    <row r="110" spans="1:11" ht="15" customHeight="1" x14ac:dyDescent="0.35">
      <c r="A110" s="52" t="str">
        <f t="shared" si="9"/>
        <v>R01308</v>
      </c>
      <c r="B110" s="25" t="s">
        <v>161</v>
      </c>
      <c r="C110" s="52" t="str">
        <f>VLOOKUP(B110,rep_roster!$A:$B,2,0)</f>
        <v>Daniel Foster</v>
      </c>
      <c r="D110" s="25">
        <v>8</v>
      </c>
      <c r="E110" s="61" t="str">
        <f>INDEX({"Jan","Feb","Mar","Apr","May","Jun","Jul","Aug","Sep","Oct","Nov","Dec"},D110)</f>
        <v>Aug</v>
      </c>
      <c r="F110" s="61" t="str">
        <f>VLOOKUP(B110,rep_roster!$A:$D,4,0)</f>
        <v>Mid-Market</v>
      </c>
      <c r="G110" s="61" t="str">
        <f>VLOOKUP(B110,rep_roster!$A:$C,3,0)</f>
        <v>CSM</v>
      </c>
      <c r="H110" s="38">
        <v>15000</v>
      </c>
      <c r="I110" s="38">
        <v>11000</v>
      </c>
      <c r="J110" s="62">
        <f t="shared" si="10"/>
        <v>0.73333333333333328</v>
      </c>
      <c r="K110" s="53">
        <f t="shared" si="11"/>
        <v>-4000</v>
      </c>
    </row>
    <row r="111" spans="1:11" ht="15" customHeight="1" x14ac:dyDescent="0.35">
      <c r="A111" s="49" t="str">
        <f t="shared" si="9"/>
        <v>R01309</v>
      </c>
      <c r="B111" s="22" t="s">
        <v>161</v>
      </c>
      <c r="C111" s="49" t="str">
        <f>VLOOKUP(B111,rep_roster!$A:$B,2,0)</f>
        <v>Daniel Foster</v>
      </c>
      <c r="D111" s="22">
        <v>9</v>
      </c>
      <c r="E111" s="58" t="str">
        <f>INDEX({"Jan","Feb","Mar","Apr","May","Jun","Jul","Aug","Sep","Oct","Nov","Dec"},D111)</f>
        <v>Sep</v>
      </c>
      <c r="F111" s="58" t="str">
        <f>VLOOKUP(B111,rep_roster!$A:$D,4,0)</f>
        <v>Mid-Market</v>
      </c>
      <c r="G111" s="58" t="str">
        <f>VLOOKUP(B111,rep_roster!$A:$C,3,0)</f>
        <v>CSM</v>
      </c>
      <c r="H111" s="32">
        <v>15000</v>
      </c>
      <c r="I111" s="32">
        <v>14000</v>
      </c>
      <c r="J111" s="59">
        <f t="shared" si="10"/>
        <v>0.93333333333333335</v>
      </c>
      <c r="K111" s="50">
        <f t="shared" si="11"/>
        <v>-1000</v>
      </c>
    </row>
    <row r="112" spans="1:11" ht="15" customHeight="1" x14ac:dyDescent="0.35">
      <c r="A112" s="52" t="str">
        <f t="shared" si="9"/>
        <v>R01310</v>
      </c>
      <c r="B112" s="25" t="s">
        <v>161</v>
      </c>
      <c r="C112" s="52" t="str">
        <f>VLOOKUP(B112,rep_roster!$A:$B,2,0)</f>
        <v>Daniel Foster</v>
      </c>
      <c r="D112" s="25">
        <v>10</v>
      </c>
      <c r="E112" s="61" t="str">
        <f>INDEX({"Jan","Feb","Mar","Apr","May","Jun","Jul","Aug","Sep","Oct","Nov","Dec"},D112)</f>
        <v>Oct</v>
      </c>
      <c r="F112" s="61" t="str">
        <f>VLOOKUP(B112,rep_roster!$A:$D,4,0)</f>
        <v>Mid-Market</v>
      </c>
      <c r="G112" s="61" t="str">
        <f>VLOOKUP(B112,rep_roster!$A:$C,3,0)</f>
        <v>CSM</v>
      </c>
      <c r="H112" s="38">
        <v>15000</v>
      </c>
      <c r="I112" s="38">
        <v>10000</v>
      </c>
      <c r="J112" s="62">
        <f t="shared" si="10"/>
        <v>0.66666666666666663</v>
      </c>
      <c r="K112" s="53">
        <f t="shared" si="11"/>
        <v>-5000</v>
      </c>
    </row>
    <row r="113" spans="1:11" ht="15" customHeight="1" x14ac:dyDescent="0.35">
      <c r="A113" s="49" t="str">
        <f t="shared" si="9"/>
        <v>R01311</v>
      </c>
      <c r="B113" s="22" t="s">
        <v>161</v>
      </c>
      <c r="C113" s="49" t="str">
        <f>VLOOKUP(B113,rep_roster!$A:$B,2,0)</f>
        <v>Daniel Foster</v>
      </c>
      <c r="D113" s="22">
        <v>11</v>
      </c>
      <c r="E113" s="58" t="str">
        <f>INDEX({"Jan","Feb","Mar","Apr","May","Jun","Jul","Aug","Sep","Oct","Nov","Dec"},D113)</f>
        <v>Nov</v>
      </c>
      <c r="F113" s="58" t="str">
        <f>VLOOKUP(B113,rep_roster!$A:$D,4,0)</f>
        <v>Mid-Market</v>
      </c>
      <c r="G113" s="58" t="str">
        <f>VLOOKUP(B113,rep_roster!$A:$C,3,0)</f>
        <v>CSM</v>
      </c>
      <c r="H113" s="32">
        <v>15000</v>
      </c>
      <c r="I113" s="32">
        <v>12000</v>
      </c>
      <c r="J113" s="59">
        <f t="shared" si="10"/>
        <v>0.8</v>
      </c>
      <c r="K113" s="50">
        <f t="shared" si="11"/>
        <v>-3000</v>
      </c>
    </row>
    <row r="114" spans="1:11" ht="15" customHeight="1" x14ac:dyDescent="0.35">
      <c r="A114" s="52" t="str">
        <f t="shared" si="9"/>
        <v>R01312</v>
      </c>
      <c r="B114" s="25" t="s">
        <v>161</v>
      </c>
      <c r="C114" s="52" t="str">
        <f>VLOOKUP(B114,rep_roster!$A:$B,2,0)</f>
        <v>Daniel Foster</v>
      </c>
      <c r="D114" s="25">
        <v>12</v>
      </c>
      <c r="E114" s="61" t="str">
        <f>INDEX({"Jan","Feb","Mar","Apr","May","Jun","Jul","Aug","Sep","Oct","Nov","Dec"},D114)</f>
        <v>Dec</v>
      </c>
      <c r="F114" s="61" t="str">
        <f>VLOOKUP(B114,rep_roster!$A:$D,4,0)</f>
        <v>Mid-Market</v>
      </c>
      <c r="G114" s="61" t="str">
        <f>VLOOKUP(B114,rep_roster!$A:$C,3,0)</f>
        <v>CSM</v>
      </c>
      <c r="H114" s="38">
        <v>15000</v>
      </c>
      <c r="I114" s="38">
        <v>15000</v>
      </c>
      <c r="J114" s="62">
        <f t="shared" si="10"/>
        <v>1</v>
      </c>
      <c r="K114" s="53">
        <f t="shared" si="11"/>
        <v>0</v>
      </c>
    </row>
    <row r="115" spans="1:11" ht="15" customHeight="1" x14ac:dyDescent="0.35">
      <c r="A115" s="49" t="str">
        <f t="shared" si="9"/>
        <v>R01401</v>
      </c>
      <c r="B115" s="22" t="s">
        <v>163</v>
      </c>
      <c r="C115" s="49" t="str">
        <f>VLOOKUP(B115,rep_roster!$A:$B,2,0)</f>
        <v>Rachel Green</v>
      </c>
      <c r="D115" s="22">
        <v>1</v>
      </c>
      <c r="E115" s="58" t="str">
        <f>INDEX({"Jan","Feb","Mar","Apr","May","Jun","Jul","Aug","Sep","Oct","Nov","Dec"},D115)</f>
        <v>Jan</v>
      </c>
      <c r="F115" s="58" t="str">
        <f>VLOOKUP(B115,rep_roster!$A:$D,4,0)</f>
        <v>Mid-Market</v>
      </c>
      <c r="G115" s="58" t="str">
        <f>VLOOKUP(B115,rep_roster!$A:$C,3,0)</f>
        <v>CSM</v>
      </c>
      <c r="H115" s="32">
        <v>15000</v>
      </c>
      <c r="I115" s="32">
        <v>22000</v>
      </c>
      <c r="J115" s="59">
        <f t="shared" si="10"/>
        <v>1.4666666666666666</v>
      </c>
      <c r="K115" s="50">
        <f t="shared" si="11"/>
        <v>7000</v>
      </c>
    </row>
    <row r="116" spans="1:11" ht="15" customHeight="1" x14ac:dyDescent="0.35">
      <c r="A116" s="52" t="str">
        <f t="shared" si="9"/>
        <v>R01402</v>
      </c>
      <c r="B116" s="25" t="s">
        <v>163</v>
      </c>
      <c r="C116" s="52" t="str">
        <f>VLOOKUP(B116,rep_roster!$A:$B,2,0)</f>
        <v>Rachel Green</v>
      </c>
      <c r="D116" s="25">
        <v>2</v>
      </c>
      <c r="E116" s="61" t="str">
        <f>INDEX({"Jan","Feb","Mar","Apr","May","Jun","Jul","Aug","Sep","Oct","Nov","Dec"},D116)</f>
        <v>Feb</v>
      </c>
      <c r="F116" s="61" t="str">
        <f>VLOOKUP(B116,rep_roster!$A:$D,4,0)</f>
        <v>Mid-Market</v>
      </c>
      <c r="G116" s="61" t="str">
        <f>VLOOKUP(B116,rep_roster!$A:$C,3,0)</f>
        <v>CSM</v>
      </c>
      <c r="H116" s="38">
        <v>15000</v>
      </c>
      <c r="I116" s="38">
        <v>20000</v>
      </c>
      <c r="J116" s="62">
        <f t="shared" si="10"/>
        <v>1.3333333333333333</v>
      </c>
      <c r="K116" s="53">
        <f t="shared" si="11"/>
        <v>5000</v>
      </c>
    </row>
    <row r="117" spans="1:11" ht="15" customHeight="1" x14ac:dyDescent="0.35">
      <c r="A117" s="49" t="str">
        <f t="shared" si="9"/>
        <v>R01403</v>
      </c>
      <c r="B117" s="22" t="s">
        <v>163</v>
      </c>
      <c r="C117" s="49" t="str">
        <f>VLOOKUP(B117,rep_roster!$A:$B,2,0)</f>
        <v>Rachel Green</v>
      </c>
      <c r="D117" s="22">
        <v>3</v>
      </c>
      <c r="E117" s="58" t="str">
        <f>INDEX({"Jan","Feb","Mar","Apr","May","Jun","Jul","Aug","Sep","Oct","Nov","Dec"},D117)</f>
        <v>Mar</v>
      </c>
      <c r="F117" s="58" t="str">
        <f>VLOOKUP(B117,rep_roster!$A:$D,4,0)</f>
        <v>Mid-Market</v>
      </c>
      <c r="G117" s="58" t="str">
        <f>VLOOKUP(B117,rep_roster!$A:$C,3,0)</f>
        <v>CSM</v>
      </c>
      <c r="H117" s="32">
        <v>15000</v>
      </c>
      <c r="I117" s="32">
        <v>24000</v>
      </c>
      <c r="J117" s="59">
        <f t="shared" si="10"/>
        <v>1.6</v>
      </c>
      <c r="K117" s="50">
        <f t="shared" si="11"/>
        <v>9000</v>
      </c>
    </row>
    <row r="118" spans="1:11" ht="15" customHeight="1" x14ac:dyDescent="0.35">
      <c r="A118" s="52" t="str">
        <f t="shared" si="9"/>
        <v>R01404</v>
      </c>
      <c r="B118" s="25" t="s">
        <v>163</v>
      </c>
      <c r="C118" s="52" t="str">
        <f>VLOOKUP(B118,rep_roster!$A:$B,2,0)</f>
        <v>Rachel Green</v>
      </c>
      <c r="D118" s="25">
        <v>4</v>
      </c>
      <c r="E118" s="61" t="str">
        <f>INDEX({"Jan","Feb","Mar","Apr","May","Jun","Jul","Aug","Sep","Oct","Nov","Dec"},D118)</f>
        <v>Apr</v>
      </c>
      <c r="F118" s="61" t="str">
        <f>VLOOKUP(B118,rep_roster!$A:$D,4,0)</f>
        <v>Mid-Market</v>
      </c>
      <c r="G118" s="61" t="str">
        <f>VLOOKUP(B118,rep_roster!$A:$C,3,0)</f>
        <v>CSM</v>
      </c>
      <c r="H118" s="38">
        <v>15000</v>
      </c>
      <c r="I118" s="38">
        <v>18000</v>
      </c>
      <c r="J118" s="62">
        <f t="shared" si="10"/>
        <v>1.2</v>
      </c>
      <c r="K118" s="53">
        <f t="shared" si="11"/>
        <v>3000</v>
      </c>
    </row>
    <row r="119" spans="1:11" ht="15" customHeight="1" x14ac:dyDescent="0.35">
      <c r="A119" s="49" t="str">
        <f t="shared" si="9"/>
        <v>R01405</v>
      </c>
      <c r="B119" s="22" t="s">
        <v>163</v>
      </c>
      <c r="C119" s="49" t="str">
        <f>VLOOKUP(B119,rep_roster!$A:$B,2,0)</f>
        <v>Rachel Green</v>
      </c>
      <c r="D119" s="22">
        <v>5</v>
      </c>
      <c r="E119" s="58" t="str">
        <f>INDEX({"Jan","Feb","Mar","Apr","May","Jun","Jul","Aug","Sep","Oct","Nov","Dec"},D119)</f>
        <v>May</v>
      </c>
      <c r="F119" s="58" t="str">
        <f>VLOOKUP(B119,rep_roster!$A:$D,4,0)</f>
        <v>Mid-Market</v>
      </c>
      <c r="G119" s="58" t="str">
        <f>VLOOKUP(B119,rep_roster!$A:$C,3,0)</f>
        <v>CSM</v>
      </c>
      <c r="H119" s="32">
        <v>15000</v>
      </c>
      <c r="I119" s="32">
        <v>19000</v>
      </c>
      <c r="J119" s="59">
        <f t="shared" si="10"/>
        <v>1.2666666666666666</v>
      </c>
      <c r="K119" s="50">
        <f t="shared" si="11"/>
        <v>4000</v>
      </c>
    </row>
    <row r="120" spans="1:11" ht="15" customHeight="1" x14ac:dyDescent="0.35">
      <c r="A120" s="52" t="str">
        <f t="shared" si="9"/>
        <v>R01406</v>
      </c>
      <c r="B120" s="25" t="s">
        <v>163</v>
      </c>
      <c r="C120" s="52" t="str">
        <f>VLOOKUP(B120,rep_roster!$A:$B,2,0)</f>
        <v>Rachel Green</v>
      </c>
      <c r="D120" s="25">
        <v>6</v>
      </c>
      <c r="E120" s="61" t="str">
        <f>INDEX({"Jan","Feb","Mar","Apr","May","Jun","Jul","Aug","Sep","Oct","Nov","Dec"},D120)</f>
        <v>Jun</v>
      </c>
      <c r="F120" s="61" t="str">
        <f>VLOOKUP(B120,rep_roster!$A:$D,4,0)</f>
        <v>Mid-Market</v>
      </c>
      <c r="G120" s="61" t="str">
        <f>VLOOKUP(B120,rep_roster!$A:$C,3,0)</f>
        <v>CSM</v>
      </c>
      <c r="H120" s="38">
        <v>15000</v>
      </c>
      <c r="I120" s="38">
        <v>17000</v>
      </c>
      <c r="J120" s="62">
        <f t="shared" si="10"/>
        <v>1.1333333333333333</v>
      </c>
      <c r="K120" s="53">
        <f t="shared" si="11"/>
        <v>2000</v>
      </c>
    </row>
    <row r="121" spans="1:11" ht="15" customHeight="1" x14ac:dyDescent="0.35">
      <c r="A121" s="49" t="str">
        <f t="shared" si="9"/>
        <v>R01407</v>
      </c>
      <c r="B121" s="22" t="s">
        <v>163</v>
      </c>
      <c r="C121" s="49" t="str">
        <f>VLOOKUP(B121,rep_roster!$A:$B,2,0)</f>
        <v>Rachel Green</v>
      </c>
      <c r="D121" s="22">
        <v>7</v>
      </c>
      <c r="E121" s="58" t="str">
        <f>INDEX({"Jan","Feb","Mar","Apr","May","Jun","Jul","Aug","Sep","Oct","Nov","Dec"},D121)</f>
        <v>Jul</v>
      </c>
      <c r="F121" s="58" t="str">
        <f>VLOOKUP(B121,rep_roster!$A:$D,4,0)</f>
        <v>Mid-Market</v>
      </c>
      <c r="G121" s="58" t="str">
        <f>VLOOKUP(B121,rep_roster!$A:$C,3,0)</f>
        <v>CSM</v>
      </c>
      <c r="H121" s="32">
        <v>15000</v>
      </c>
      <c r="I121" s="32">
        <v>14000</v>
      </c>
      <c r="J121" s="59">
        <f t="shared" si="10"/>
        <v>0.93333333333333335</v>
      </c>
      <c r="K121" s="50">
        <f t="shared" si="11"/>
        <v>-1000</v>
      </c>
    </row>
    <row r="122" spans="1:11" ht="15" customHeight="1" x14ac:dyDescent="0.35">
      <c r="A122" s="52" t="str">
        <f t="shared" si="9"/>
        <v>R01408</v>
      </c>
      <c r="B122" s="25" t="s">
        <v>163</v>
      </c>
      <c r="C122" s="52" t="str">
        <f>VLOOKUP(B122,rep_roster!$A:$B,2,0)</f>
        <v>Rachel Green</v>
      </c>
      <c r="D122" s="25">
        <v>8</v>
      </c>
      <c r="E122" s="61" t="str">
        <f>INDEX({"Jan","Feb","Mar","Apr","May","Jun","Jul","Aug","Sep","Oct","Nov","Dec"},D122)</f>
        <v>Aug</v>
      </c>
      <c r="F122" s="61" t="str">
        <f>VLOOKUP(B122,rep_roster!$A:$D,4,0)</f>
        <v>Mid-Market</v>
      </c>
      <c r="G122" s="61" t="str">
        <f>VLOOKUP(B122,rep_roster!$A:$C,3,0)</f>
        <v>CSM</v>
      </c>
      <c r="H122" s="38">
        <v>15000</v>
      </c>
      <c r="I122" s="38">
        <v>13000</v>
      </c>
      <c r="J122" s="62">
        <f t="shared" si="10"/>
        <v>0.8666666666666667</v>
      </c>
      <c r="K122" s="53">
        <f t="shared" si="11"/>
        <v>-2000</v>
      </c>
    </row>
    <row r="123" spans="1:11" ht="15" customHeight="1" x14ac:dyDescent="0.35">
      <c r="A123" s="49" t="str">
        <f t="shared" si="9"/>
        <v>R01409</v>
      </c>
      <c r="B123" s="22" t="s">
        <v>163</v>
      </c>
      <c r="C123" s="49" t="str">
        <f>VLOOKUP(B123,rep_roster!$A:$B,2,0)</f>
        <v>Rachel Green</v>
      </c>
      <c r="D123" s="22">
        <v>9</v>
      </c>
      <c r="E123" s="58" t="str">
        <f>INDEX({"Jan","Feb","Mar","Apr","May","Jun","Jul","Aug","Sep","Oct","Nov","Dec"},D123)</f>
        <v>Sep</v>
      </c>
      <c r="F123" s="58" t="str">
        <f>VLOOKUP(B123,rep_roster!$A:$D,4,0)</f>
        <v>Mid-Market</v>
      </c>
      <c r="G123" s="58" t="str">
        <f>VLOOKUP(B123,rep_roster!$A:$C,3,0)</f>
        <v>CSM</v>
      </c>
      <c r="H123" s="32">
        <v>15000</v>
      </c>
      <c r="I123" s="32">
        <v>15000</v>
      </c>
      <c r="J123" s="59">
        <f t="shared" si="10"/>
        <v>1</v>
      </c>
      <c r="K123" s="50">
        <f t="shared" si="11"/>
        <v>0</v>
      </c>
    </row>
    <row r="124" spans="1:11" ht="15" customHeight="1" x14ac:dyDescent="0.35">
      <c r="A124" s="52" t="str">
        <f t="shared" si="9"/>
        <v>R01410</v>
      </c>
      <c r="B124" s="25" t="s">
        <v>163</v>
      </c>
      <c r="C124" s="52" t="str">
        <f>VLOOKUP(B124,rep_roster!$A:$B,2,0)</f>
        <v>Rachel Green</v>
      </c>
      <c r="D124" s="25">
        <v>10</v>
      </c>
      <c r="E124" s="61" t="str">
        <f>INDEX({"Jan","Feb","Mar","Apr","May","Jun","Jul","Aug","Sep","Oct","Nov","Dec"},D124)</f>
        <v>Oct</v>
      </c>
      <c r="F124" s="61" t="str">
        <f>VLOOKUP(B124,rep_roster!$A:$D,4,0)</f>
        <v>Mid-Market</v>
      </c>
      <c r="G124" s="61" t="str">
        <f>VLOOKUP(B124,rep_roster!$A:$C,3,0)</f>
        <v>CSM</v>
      </c>
      <c r="H124" s="38">
        <v>15000</v>
      </c>
      <c r="I124" s="38">
        <v>12000</v>
      </c>
      <c r="J124" s="62">
        <f t="shared" si="10"/>
        <v>0.8</v>
      </c>
      <c r="K124" s="53">
        <f t="shared" si="11"/>
        <v>-3000</v>
      </c>
    </row>
    <row r="125" spans="1:11" ht="15" customHeight="1" x14ac:dyDescent="0.35">
      <c r="A125" s="49" t="str">
        <f t="shared" si="9"/>
        <v>R01411</v>
      </c>
      <c r="B125" s="22" t="s">
        <v>163</v>
      </c>
      <c r="C125" s="49" t="str">
        <f>VLOOKUP(B125,rep_roster!$A:$B,2,0)</f>
        <v>Rachel Green</v>
      </c>
      <c r="D125" s="22">
        <v>11</v>
      </c>
      <c r="E125" s="58" t="str">
        <f>INDEX({"Jan","Feb","Mar","Apr","May","Jun","Jul","Aug","Sep","Oct","Nov","Dec"},D125)</f>
        <v>Nov</v>
      </c>
      <c r="F125" s="58" t="str">
        <f>VLOOKUP(B125,rep_roster!$A:$D,4,0)</f>
        <v>Mid-Market</v>
      </c>
      <c r="G125" s="58" t="str">
        <f>VLOOKUP(B125,rep_roster!$A:$C,3,0)</f>
        <v>CSM</v>
      </c>
      <c r="H125" s="32">
        <v>15000</v>
      </c>
      <c r="I125" s="32">
        <v>14000</v>
      </c>
      <c r="J125" s="59">
        <f t="shared" si="10"/>
        <v>0.93333333333333335</v>
      </c>
      <c r="K125" s="50">
        <f t="shared" si="11"/>
        <v>-1000</v>
      </c>
    </row>
    <row r="126" spans="1:11" ht="15" customHeight="1" x14ac:dyDescent="0.35">
      <c r="A126" s="52" t="str">
        <f t="shared" si="9"/>
        <v>R01412</v>
      </c>
      <c r="B126" s="25" t="s">
        <v>163</v>
      </c>
      <c r="C126" s="52" t="str">
        <f>VLOOKUP(B126,rep_roster!$A:$B,2,0)</f>
        <v>Rachel Green</v>
      </c>
      <c r="D126" s="25">
        <v>12</v>
      </c>
      <c r="E126" s="61" t="str">
        <f>INDEX({"Jan","Feb","Mar","Apr","May","Jun","Jul","Aug","Sep","Oct","Nov","Dec"},D126)</f>
        <v>Dec</v>
      </c>
      <c r="F126" s="61" t="str">
        <f>VLOOKUP(B126,rep_roster!$A:$D,4,0)</f>
        <v>Mid-Market</v>
      </c>
      <c r="G126" s="61" t="str">
        <f>VLOOKUP(B126,rep_roster!$A:$C,3,0)</f>
        <v>CSM</v>
      </c>
      <c r="H126" s="38">
        <v>15000</v>
      </c>
      <c r="I126" s="38">
        <v>18000</v>
      </c>
      <c r="J126" s="62">
        <f t="shared" si="10"/>
        <v>1.2</v>
      </c>
      <c r="K126" s="53">
        <f t="shared" si="11"/>
        <v>3000</v>
      </c>
    </row>
    <row r="127" spans="1:11" ht="15" customHeight="1" x14ac:dyDescent="0.35">
      <c r="A127" s="49" t="str">
        <f t="shared" si="9"/>
        <v>R01601</v>
      </c>
      <c r="B127" s="22" t="s">
        <v>166</v>
      </c>
      <c r="C127" s="49" t="str">
        <f>VLOOKUP(B127,rep_roster!$A:$B,2,0)</f>
        <v>Nina Patel</v>
      </c>
      <c r="D127" s="22">
        <v>1</v>
      </c>
      <c r="E127" s="58" t="str">
        <f>INDEX({"Jan","Feb","Mar","Apr","May","Jun","Jul","Aug","Sep","Oct","Nov","Dec"},D127)</f>
        <v>Jan</v>
      </c>
      <c r="F127" s="58" t="str">
        <f>VLOOKUP(B127,rep_roster!$A:$D,4,0)</f>
        <v>SMB</v>
      </c>
      <c r="G127" s="58" t="str">
        <f>VLOOKUP(B127,rep_roster!$A:$C,3,0)</f>
        <v>SDR</v>
      </c>
      <c r="H127" s="33">
        <v>16</v>
      </c>
      <c r="I127" s="33">
        <v>20</v>
      </c>
      <c r="J127" s="59">
        <f t="shared" si="10"/>
        <v>1.25</v>
      </c>
      <c r="K127" s="60">
        <f t="shared" si="11"/>
        <v>4</v>
      </c>
    </row>
    <row r="128" spans="1:11" ht="15" customHeight="1" x14ac:dyDescent="0.35">
      <c r="A128" s="52" t="str">
        <f t="shared" si="9"/>
        <v>R01602</v>
      </c>
      <c r="B128" s="25" t="s">
        <v>166</v>
      </c>
      <c r="C128" s="52" t="str">
        <f>VLOOKUP(B128,rep_roster!$A:$B,2,0)</f>
        <v>Nina Patel</v>
      </c>
      <c r="D128" s="25">
        <v>2</v>
      </c>
      <c r="E128" s="61" t="str">
        <f>INDEX({"Jan","Feb","Mar","Apr","May","Jun","Jul","Aug","Sep","Oct","Nov","Dec"},D128)</f>
        <v>Feb</v>
      </c>
      <c r="F128" s="61" t="str">
        <f>VLOOKUP(B128,rep_roster!$A:$D,4,0)</f>
        <v>SMB</v>
      </c>
      <c r="G128" s="61" t="str">
        <f>VLOOKUP(B128,rep_roster!$A:$C,3,0)</f>
        <v>SDR</v>
      </c>
      <c r="H128" s="39">
        <v>16</v>
      </c>
      <c r="I128" s="39">
        <v>18</v>
      </c>
      <c r="J128" s="62">
        <f t="shared" si="10"/>
        <v>1.125</v>
      </c>
      <c r="K128" s="63">
        <f t="shared" si="11"/>
        <v>2</v>
      </c>
    </row>
    <row r="129" spans="1:11" ht="15" customHeight="1" x14ac:dyDescent="0.35">
      <c r="A129" s="49" t="str">
        <f t="shared" si="9"/>
        <v>R01603</v>
      </c>
      <c r="B129" s="22" t="s">
        <v>166</v>
      </c>
      <c r="C129" s="49" t="str">
        <f>VLOOKUP(B129,rep_roster!$A:$B,2,0)</f>
        <v>Nina Patel</v>
      </c>
      <c r="D129" s="22">
        <v>3</v>
      </c>
      <c r="E129" s="58" t="str">
        <f>INDEX({"Jan","Feb","Mar","Apr","May","Jun","Jul","Aug","Sep","Oct","Nov","Dec"},D129)</f>
        <v>Mar</v>
      </c>
      <c r="F129" s="58" t="str">
        <f>VLOOKUP(B129,rep_roster!$A:$D,4,0)</f>
        <v>SMB</v>
      </c>
      <c r="G129" s="58" t="str">
        <f>VLOOKUP(B129,rep_roster!$A:$C,3,0)</f>
        <v>SDR</v>
      </c>
      <c r="H129" s="33">
        <v>16</v>
      </c>
      <c r="I129" s="33">
        <v>21</v>
      </c>
      <c r="J129" s="59">
        <f t="shared" si="10"/>
        <v>1.3125</v>
      </c>
      <c r="K129" s="60">
        <f t="shared" si="11"/>
        <v>5</v>
      </c>
    </row>
    <row r="130" spans="1:11" ht="15" customHeight="1" x14ac:dyDescent="0.35">
      <c r="A130" s="52" t="str">
        <f t="shared" si="9"/>
        <v>R01604</v>
      </c>
      <c r="B130" s="25" t="s">
        <v>166</v>
      </c>
      <c r="C130" s="52" t="str">
        <f>VLOOKUP(B130,rep_roster!$A:$B,2,0)</f>
        <v>Nina Patel</v>
      </c>
      <c r="D130" s="25">
        <v>4</v>
      </c>
      <c r="E130" s="61" t="str">
        <f>INDEX({"Jan","Feb","Mar","Apr","May","Jun","Jul","Aug","Sep","Oct","Nov","Dec"},D130)</f>
        <v>Apr</v>
      </c>
      <c r="F130" s="61" t="str">
        <f>VLOOKUP(B130,rep_roster!$A:$D,4,0)</f>
        <v>SMB</v>
      </c>
      <c r="G130" s="61" t="str">
        <f>VLOOKUP(B130,rep_roster!$A:$C,3,0)</f>
        <v>SDR</v>
      </c>
      <c r="H130" s="39">
        <v>16</v>
      </c>
      <c r="I130" s="39">
        <v>17</v>
      </c>
      <c r="J130" s="62">
        <f t="shared" si="10"/>
        <v>1.0625</v>
      </c>
      <c r="K130" s="63">
        <f t="shared" si="11"/>
        <v>1</v>
      </c>
    </row>
    <row r="131" spans="1:11" ht="15" customHeight="1" x14ac:dyDescent="0.35">
      <c r="A131" s="49" t="str">
        <f t="shared" si="9"/>
        <v>R01605</v>
      </c>
      <c r="B131" s="22" t="s">
        <v>166</v>
      </c>
      <c r="C131" s="49" t="str">
        <f>VLOOKUP(B131,rep_roster!$A:$B,2,0)</f>
        <v>Nina Patel</v>
      </c>
      <c r="D131" s="22">
        <v>5</v>
      </c>
      <c r="E131" s="58" t="str">
        <f>INDEX({"Jan","Feb","Mar","Apr","May","Jun","Jul","Aug","Sep","Oct","Nov","Dec"},D131)</f>
        <v>May</v>
      </c>
      <c r="F131" s="58" t="str">
        <f>VLOOKUP(B131,rep_roster!$A:$D,4,0)</f>
        <v>SMB</v>
      </c>
      <c r="G131" s="58" t="str">
        <f>VLOOKUP(B131,rep_roster!$A:$C,3,0)</f>
        <v>SDR</v>
      </c>
      <c r="H131" s="33">
        <v>16</v>
      </c>
      <c r="I131" s="33">
        <v>18</v>
      </c>
      <c r="J131" s="59">
        <f t="shared" si="10"/>
        <v>1.125</v>
      </c>
      <c r="K131" s="60">
        <f t="shared" si="11"/>
        <v>2</v>
      </c>
    </row>
    <row r="132" spans="1:11" ht="15" customHeight="1" x14ac:dyDescent="0.35">
      <c r="A132" s="52" t="str">
        <f t="shared" si="9"/>
        <v>R01606</v>
      </c>
      <c r="B132" s="25" t="s">
        <v>166</v>
      </c>
      <c r="C132" s="52" t="str">
        <f>VLOOKUP(B132,rep_roster!$A:$B,2,0)</f>
        <v>Nina Patel</v>
      </c>
      <c r="D132" s="25">
        <v>6</v>
      </c>
      <c r="E132" s="61" t="str">
        <f>INDEX({"Jan","Feb","Mar","Apr","May","Jun","Jul","Aug","Sep","Oct","Nov","Dec"},D132)</f>
        <v>Jun</v>
      </c>
      <c r="F132" s="61" t="str">
        <f>VLOOKUP(B132,rep_roster!$A:$D,4,0)</f>
        <v>SMB</v>
      </c>
      <c r="G132" s="61" t="str">
        <f>VLOOKUP(B132,rep_roster!$A:$C,3,0)</f>
        <v>SDR</v>
      </c>
      <c r="H132" s="39">
        <v>16</v>
      </c>
      <c r="I132" s="39">
        <v>16</v>
      </c>
      <c r="J132" s="62">
        <f t="shared" si="10"/>
        <v>1</v>
      </c>
      <c r="K132" s="63">
        <f t="shared" si="11"/>
        <v>0</v>
      </c>
    </row>
    <row r="133" spans="1:11" ht="15" customHeight="1" x14ac:dyDescent="0.35">
      <c r="A133" s="49" t="str">
        <f t="shared" ref="A133:A164" si="12">B133&amp;TEXT(D133,"00")</f>
        <v>R01607</v>
      </c>
      <c r="B133" s="22" t="s">
        <v>166</v>
      </c>
      <c r="C133" s="49" t="str">
        <f>VLOOKUP(B133,rep_roster!$A:$B,2,0)</f>
        <v>Nina Patel</v>
      </c>
      <c r="D133" s="22">
        <v>7</v>
      </c>
      <c r="E133" s="58" t="str">
        <f>INDEX({"Jan","Feb","Mar","Apr","May","Jun","Jul","Aug","Sep","Oct","Nov","Dec"},D133)</f>
        <v>Jul</v>
      </c>
      <c r="F133" s="58" t="str">
        <f>VLOOKUP(B133,rep_roster!$A:$D,4,0)</f>
        <v>SMB</v>
      </c>
      <c r="G133" s="58" t="str">
        <f>VLOOKUP(B133,rep_roster!$A:$C,3,0)</f>
        <v>SDR</v>
      </c>
      <c r="H133" s="33">
        <v>16</v>
      </c>
      <c r="I133" s="33">
        <v>13</v>
      </c>
      <c r="J133" s="59">
        <f t="shared" ref="J133:J164" si="13">IF(H133&gt;0,I133/H133,0)</f>
        <v>0.8125</v>
      </c>
      <c r="K133" s="60">
        <f t="shared" ref="K133:K164" si="14">I133-H133</f>
        <v>-3</v>
      </c>
    </row>
    <row r="134" spans="1:11" ht="15" customHeight="1" x14ac:dyDescent="0.35">
      <c r="A134" s="52" t="str">
        <f t="shared" si="12"/>
        <v>R01608</v>
      </c>
      <c r="B134" s="25" t="s">
        <v>166</v>
      </c>
      <c r="C134" s="52" t="str">
        <f>VLOOKUP(B134,rep_roster!$A:$B,2,0)</f>
        <v>Nina Patel</v>
      </c>
      <c r="D134" s="25">
        <v>8</v>
      </c>
      <c r="E134" s="61" t="str">
        <f>INDEX({"Jan","Feb","Mar","Apr","May","Jun","Jul","Aug","Sep","Oct","Nov","Dec"},D134)</f>
        <v>Aug</v>
      </c>
      <c r="F134" s="61" t="str">
        <f>VLOOKUP(B134,rep_roster!$A:$D,4,0)</f>
        <v>SMB</v>
      </c>
      <c r="G134" s="61" t="str">
        <f>VLOOKUP(B134,rep_roster!$A:$C,3,0)</f>
        <v>SDR</v>
      </c>
      <c r="H134" s="39">
        <v>16</v>
      </c>
      <c r="I134" s="39">
        <v>12</v>
      </c>
      <c r="J134" s="62">
        <f t="shared" si="13"/>
        <v>0.75</v>
      </c>
      <c r="K134" s="63">
        <f t="shared" si="14"/>
        <v>-4</v>
      </c>
    </row>
    <row r="135" spans="1:11" ht="15" customHeight="1" x14ac:dyDescent="0.35">
      <c r="A135" s="49" t="str">
        <f t="shared" si="12"/>
        <v>R01609</v>
      </c>
      <c r="B135" s="22" t="s">
        <v>166</v>
      </c>
      <c r="C135" s="49" t="str">
        <f>VLOOKUP(B135,rep_roster!$A:$B,2,0)</f>
        <v>Nina Patel</v>
      </c>
      <c r="D135" s="22">
        <v>9</v>
      </c>
      <c r="E135" s="58" t="str">
        <f>INDEX({"Jan","Feb","Mar","Apr","May","Jun","Jul","Aug","Sep","Oct","Nov","Dec"},D135)</f>
        <v>Sep</v>
      </c>
      <c r="F135" s="58" t="str">
        <f>VLOOKUP(B135,rep_roster!$A:$D,4,0)</f>
        <v>SMB</v>
      </c>
      <c r="G135" s="58" t="str">
        <f>VLOOKUP(B135,rep_roster!$A:$C,3,0)</f>
        <v>SDR</v>
      </c>
      <c r="H135" s="33">
        <v>16</v>
      </c>
      <c r="I135" s="33">
        <v>15</v>
      </c>
      <c r="J135" s="59">
        <f t="shared" si="13"/>
        <v>0.9375</v>
      </c>
      <c r="K135" s="60">
        <f t="shared" si="14"/>
        <v>-1</v>
      </c>
    </row>
    <row r="136" spans="1:11" ht="15" customHeight="1" x14ac:dyDescent="0.35">
      <c r="A136" s="52" t="str">
        <f t="shared" si="12"/>
        <v>R01610</v>
      </c>
      <c r="B136" s="25" t="s">
        <v>166</v>
      </c>
      <c r="C136" s="52" t="str">
        <f>VLOOKUP(B136,rep_roster!$A:$B,2,0)</f>
        <v>Nina Patel</v>
      </c>
      <c r="D136" s="25">
        <v>10</v>
      </c>
      <c r="E136" s="61" t="str">
        <f>INDEX({"Jan","Feb","Mar","Apr","May","Jun","Jul","Aug","Sep","Oct","Nov","Dec"},D136)</f>
        <v>Oct</v>
      </c>
      <c r="F136" s="61" t="str">
        <f>VLOOKUP(B136,rep_roster!$A:$D,4,0)</f>
        <v>SMB</v>
      </c>
      <c r="G136" s="61" t="str">
        <f>VLOOKUP(B136,rep_roster!$A:$C,3,0)</f>
        <v>SDR</v>
      </c>
      <c r="H136" s="39">
        <v>16</v>
      </c>
      <c r="I136" s="39">
        <v>13</v>
      </c>
      <c r="J136" s="62">
        <f t="shared" si="13"/>
        <v>0.8125</v>
      </c>
      <c r="K136" s="63">
        <f t="shared" si="14"/>
        <v>-3</v>
      </c>
    </row>
    <row r="137" spans="1:11" ht="15" customHeight="1" x14ac:dyDescent="0.35">
      <c r="A137" s="49" t="str">
        <f t="shared" si="12"/>
        <v>R01611</v>
      </c>
      <c r="B137" s="22" t="s">
        <v>166</v>
      </c>
      <c r="C137" s="49" t="str">
        <f>VLOOKUP(B137,rep_roster!$A:$B,2,0)</f>
        <v>Nina Patel</v>
      </c>
      <c r="D137" s="22">
        <v>11</v>
      </c>
      <c r="E137" s="58" t="str">
        <f>INDEX({"Jan","Feb","Mar","Apr","May","Jun","Jul","Aug","Sep","Oct","Nov","Dec"},D137)</f>
        <v>Nov</v>
      </c>
      <c r="F137" s="58" t="str">
        <f>VLOOKUP(B137,rep_roster!$A:$D,4,0)</f>
        <v>SMB</v>
      </c>
      <c r="G137" s="58" t="str">
        <f>VLOOKUP(B137,rep_roster!$A:$C,3,0)</f>
        <v>SDR</v>
      </c>
      <c r="H137" s="33">
        <v>16</v>
      </c>
      <c r="I137" s="33">
        <v>14</v>
      </c>
      <c r="J137" s="59">
        <f t="shared" si="13"/>
        <v>0.875</v>
      </c>
      <c r="K137" s="60">
        <f t="shared" si="14"/>
        <v>-2</v>
      </c>
    </row>
    <row r="138" spans="1:11" ht="15" customHeight="1" x14ac:dyDescent="0.35">
      <c r="A138" s="52" t="str">
        <f t="shared" si="12"/>
        <v>R01612</v>
      </c>
      <c r="B138" s="25" t="s">
        <v>166</v>
      </c>
      <c r="C138" s="52" t="str">
        <f>VLOOKUP(B138,rep_roster!$A:$B,2,0)</f>
        <v>Nina Patel</v>
      </c>
      <c r="D138" s="25">
        <v>12</v>
      </c>
      <c r="E138" s="61" t="str">
        <f>INDEX({"Jan","Feb","Mar","Apr","May","Jun","Jul","Aug","Sep","Oct","Nov","Dec"},D138)</f>
        <v>Dec</v>
      </c>
      <c r="F138" s="61" t="str">
        <f>VLOOKUP(B138,rep_roster!$A:$D,4,0)</f>
        <v>SMB</v>
      </c>
      <c r="G138" s="61" t="str">
        <f>VLOOKUP(B138,rep_roster!$A:$C,3,0)</f>
        <v>SDR</v>
      </c>
      <c r="H138" s="39">
        <v>16</v>
      </c>
      <c r="I138" s="39">
        <v>17</v>
      </c>
      <c r="J138" s="62">
        <f t="shared" si="13"/>
        <v>1.0625</v>
      </c>
      <c r="K138" s="63">
        <f t="shared" si="14"/>
        <v>1</v>
      </c>
    </row>
    <row r="139" spans="1:11" ht="15" customHeight="1" x14ac:dyDescent="0.35">
      <c r="A139" s="49" t="str">
        <f t="shared" si="12"/>
        <v>R01701</v>
      </c>
      <c r="B139" s="22" t="s">
        <v>168</v>
      </c>
      <c r="C139" s="49" t="str">
        <f>VLOOKUP(B139,rep_roster!$A:$B,2,0)</f>
        <v>Derek Washington</v>
      </c>
      <c r="D139" s="22">
        <v>1</v>
      </c>
      <c r="E139" s="58" t="str">
        <f>INDEX({"Jan","Feb","Mar","Apr","May","Jun","Jul","Aug","Sep","Oct","Nov","Dec"},D139)</f>
        <v>Jan</v>
      </c>
      <c r="F139" s="58" t="str">
        <f>VLOOKUP(B139,rep_roster!$A:$D,4,0)</f>
        <v>SMB</v>
      </c>
      <c r="G139" s="58" t="str">
        <f>VLOOKUP(B139,rep_roster!$A:$C,3,0)</f>
        <v>SDR</v>
      </c>
      <c r="H139" s="33">
        <v>16</v>
      </c>
      <c r="I139" s="33">
        <v>18</v>
      </c>
      <c r="J139" s="59">
        <f t="shared" si="13"/>
        <v>1.125</v>
      </c>
      <c r="K139" s="60">
        <f t="shared" si="14"/>
        <v>2</v>
      </c>
    </row>
    <row r="140" spans="1:11" ht="15" customHeight="1" x14ac:dyDescent="0.35">
      <c r="A140" s="52" t="str">
        <f t="shared" si="12"/>
        <v>R01702</v>
      </c>
      <c r="B140" s="25" t="s">
        <v>168</v>
      </c>
      <c r="C140" s="52" t="str">
        <f>VLOOKUP(B140,rep_roster!$A:$B,2,0)</f>
        <v>Derek Washington</v>
      </c>
      <c r="D140" s="25">
        <v>2</v>
      </c>
      <c r="E140" s="61" t="str">
        <f>INDEX({"Jan","Feb","Mar","Apr","May","Jun","Jul","Aug","Sep","Oct","Nov","Dec"},D140)</f>
        <v>Feb</v>
      </c>
      <c r="F140" s="61" t="str">
        <f>VLOOKUP(B140,rep_roster!$A:$D,4,0)</f>
        <v>SMB</v>
      </c>
      <c r="G140" s="61" t="str">
        <f>VLOOKUP(B140,rep_roster!$A:$C,3,0)</f>
        <v>SDR</v>
      </c>
      <c r="H140" s="39">
        <v>16</v>
      </c>
      <c r="I140" s="39">
        <v>17</v>
      </c>
      <c r="J140" s="62">
        <f t="shared" si="13"/>
        <v>1.0625</v>
      </c>
      <c r="K140" s="63">
        <f t="shared" si="14"/>
        <v>1</v>
      </c>
    </row>
    <row r="141" spans="1:11" ht="15" customHeight="1" x14ac:dyDescent="0.35">
      <c r="A141" s="49" t="str">
        <f t="shared" si="12"/>
        <v>R01703</v>
      </c>
      <c r="B141" s="22" t="s">
        <v>168</v>
      </c>
      <c r="C141" s="49" t="str">
        <f>VLOOKUP(B141,rep_roster!$A:$B,2,0)</f>
        <v>Derek Washington</v>
      </c>
      <c r="D141" s="22">
        <v>3</v>
      </c>
      <c r="E141" s="58" t="str">
        <f>INDEX({"Jan","Feb","Mar","Apr","May","Jun","Jul","Aug","Sep","Oct","Nov","Dec"},D141)</f>
        <v>Mar</v>
      </c>
      <c r="F141" s="58" t="str">
        <f>VLOOKUP(B141,rep_roster!$A:$D,4,0)</f>
        <v>SMB</v>
      </c>
      <c r="G141" s="58" t="str">
        <f>VLOOKUP(B141,rep_roster!$A:$C,3,0)</f>
        <v>SDR</v>
      </c>
      <c r="H141" s="33">
        <v>16</v>
      </c>
      <c r="I141" s="33">
        <v>19</v>
      </c>
      <c r="J141" s="59">
        <f t="shared" si="13"/>
        <v>1.1875</v>
      </c>
      <c r="K141" s="60">
        <f t="shared" si="14"/>
        <v>3</v>
      </c>
    </row>
    <row r="142" spans="1:11" ht="15" customHeight="1" x14ac:dyDescent="0.35">
      <c r="A142" s="52" t="str">
        <f t="shared" si="12"/>
        <v>R01704</v>
      </c>
      <c r="B142" s="25" t="s">
        <v>168</v>
      </c>
      <c r="C142" s="52" t="str">
        <f>VLOOKUP(B142,rep_roster!$A:$B,2,0)</f>
        <v>Derek Washington</v>
      </c>
      <c r="D142" s="25">
        <v>4</v>
      </c>
      <c r="E142" s="61" t="str">
        <f>INDEX({"Jan","Feb","Mar","Apr","May","Jun","Jul","Aug","Sep","Oct","Nov","Dec"},D142)</f>
        <v>Apr</v>
      </c>
      <c r="F142" s="61" t="str">
        <f>VLOOKUP(B142,rep_roster!$A:$D,4,0)</f>
        <v>SMB</v>
      </c>
      <c r="G142" s="61" t="str">
        <f>VLOOKUP(B142,rep_roster!$A:$C,3,0)</f>
        <v>SDR</v>
      </c>
      <c r="H142" s="39">
        <v>16</v>
      </c>
      <c r="I142" s="39">
        <v>16</v>
      </c>
      <c r="J142" s="62">
        <f t="shared" si="13"/>
        <v>1</v>
      </c>
      <c r="K142" s="63">
        <f t="shared" si="14"/>
        <v>0</v>
      </c>
    </row>
    <row r="143" spans="1:11" ht="15" customHeight="1" x14ac:dyDescent="0.35">
      <c r="A143" s="49" t="str">
        <f t="shared" si="12"/>
        <v>R01705</v>
      </c>
      <c r="B143" s="22" t="s">
        <v>168</v>
      </c>
      <c r="C143" s="49" t="str">
        <f>VLOOKUP(B143,rep_roster!$A:$B,2,0)</f>
        <v>Derek Washington</v>
      </c>
      <c r="D143" s="22">
        <v>5</v>
      </c>
      <c r="E143" s="58" t="str">
        <f>INDEX({"Jan","Feb","Mar","Apr","May","Jun","Jul","Aug","Sep","Oct","Nov","Dec"},D143)</f>
        <v>May</v>
      </c>
      <c r="F143" s="58" t="str">
        <f>VLOOKUP(B143,rep_roster!$A:$D,4,0)</f>
        <v>SMB</v>
      </c>
      <c r="G143" s="58" t="str">
        <f>VLOOKUP(B143,rep_roster!$A:$C,3,0)</f>
        <v>SDR</v>
      </c>
      <c r="H143" s="33">
        <v>16</v>
      </c>
      <c r="I143" s="33">
        <v>17</v>
      </c>
      <c r="J143" s="59">
        <f t="shared" si="13"/>
        <v>1.0625</v>
      </c>
      <c r="K143" s="60">
        <f t="shared" si="14"/>
        <v>1</v>
      </c>
    </row>
    <row r="144" spans="1:11" ht="15" customHeight="1" x14ac:dyDescent="0.35">
      <c r="A144" s="52" t="str">
        <f t="shared" si="12"/>
        <v>R01706</v>
      </c>
      <c r="B144" s="25" t="s">
        <v>168</v>
      </c>
      <c r="C144" s="52" t="str">
        <f>VLOOKUP(B144,rep_roster!$A:$B,2,0)</f>
        <v>Derek Washington</v>
      </c>
      <c r="D144" s="25">
        <v>6</v>
      </c>
      <c r="E144" s="61" t="str">
        <f>INDEX({"Jan","Feb","Mar","Apr","May","Jun","Jul","Aug","Sep","Oct","Nov","Dec"},D144)</f>
        <v>Jun</v>
      </c>
      <c r="F144" s="61" t="str">
        <f>VLOOKUP(B144,rep_roster!$A:$D,4,0)</f>
        <v>SMB</v>
      </c>
      <c r="G144" s="61" t="str">
        <f>VLOOKUP(B144,rep_roster!$A:$C,3,0)</f>
        <v>SDR</v>
      </c>
      <c r="H144" s="39">
        <v>16</v>
      </c>
      <c r="I144" s="39">
        <v>15</v>
      </c>
      <c r="J144" s="62">
        <f t="shared" si="13"/>
        <v>0.9375</v>
      </c>
      <c r="K144" s="63">
        <f t="shared" si="14"/>
        <v>-1</v>
      </c>
    </row>
    <row r="145" spans="1:11" ht="15" customHeight="1" x14ac:dyDescent="0.35">
      <c r="A145" s="49" t="str">
        <f t="shared" si="12"/>
        <v>R01707</v>
      </c>
      <c r="B145" s="22" t="s">
        <v>168</v>
      </c>
      <c r="C145" s="49" t="str">
        <f>VLOOKUP(B145,rep_roster!$A:$B,2,0)</f>
        <v>Derek Washington</v>
      </c>
      <c r="D145" s="22">
        <v>7</v>
      </c>
      <c r="E145" s="58" t="str">
        <f>INDEX({"Jan","Feb","Mar","Apr","May","Jun","Jul","Aug","Sep","Oct","Nov","Dec"},D145)</f>
        <v>Jul</v>
      </c>
      <c r="F145" s="58" t="str">
        <f>VLOOKUP(B145,rep_roster!$A:$D,4,0)</f>
        <v>SMB</v>
      </c>
      <c r="G145" s="58" t="str">
        <f>VLOOKUP(B145,rep_roster!$A:$C,3,0)</f>
        <v>SDR</v>
      </c>
      <c r="H145" s="33">
        <v>16</v>
      </c>
      <c r="I145" s="33">
        <v>13</v>
      </c>
      <c r="J145" s="59">
        <f t="shared" si="13"/>
        <v>0.8125</v>
      </c>
      <c r="K145" s="60">
        <f t="shared" si="14"/>
        <v>-3</v>
      </c>
    </row>
    <row r="146" spans="1:11" ht="15" customHeight="1" x14ac:dyDescent="0.35">
      <c r="A146" s="52" t="str">
        <f t="shared" si="12"/>
        <v>R01708</v>
      </c>
      <c r="B146" s="25" t="s">
        <v>168</v>
      </c>
      <c r="C146" s="52" t="str">
        <f>VLOOKUP(B146,rep_roster!$A:$B,2,0)</f>
        <v>Derek Washington</v>
      </c>
      <c r="D146" s="25">
        <v>8</v>
      </c>
      <c r="E146" s="61" t="str">
        <f>INDEX({"Jan","Feb","Mar","Apr","May","Jun","Jul","Aug","Sep","Oct","Nov","Dec"},D146)</f>
        <v>Aug</v>
      </c>
      <c r="F146" s="61" t="str">
        <f>VLOOKUP(B146,rep_roster!$A:$D,4,0)</f>
        <v>SMB</v>
      </c>
      <c r="G146" s="61" t="str">
        <f>VLOOKUP(B146,rep_roster!$A:$C,3,0)</f>
        <v>SDR</v>
      </c>
      <c r="H146" s="39">
        <v>16</v>
      </c>
      <c r="I146" s="39">
        <v>12</v>
      </c>
      <c r="J146" s="62">
        <f t="shared" si="13"/>
        <v>0.75</v>
      </c>
      <c r="K146" s="63">
        <f t="shared" si="14"/>
        <v>-4</v>
      </c>
    </row>
    <row r="147" spans="1:11" ht="15" customHeight="1" x14ac:dyDescent="0.35">
      <c r="A147" s="49" t="str">
        <f t="shared" si="12"/>
        <v>R01709</v>
      </c>
      <c r="B147" s="22" t="s">
        <v>168</v>
      </c>
      <c r="C147" s="49" t="str">
        <f>VLOOKUP(B147,rep_roster!$A:$B,2,0)</f>
        <v>Derek Washington</v>
      </c>
      <c r="D147" s="22">
        <v>9</v>
      </c>
      <c r="E147" s="58" t="str">
        <f>INDEX({"Jan","Feb","Mar","Apr","May","Jun","Jul","Aug","Sep","Oct","Nov","Dec"},D147)</f>
        <v>Sep</v>
      </c>
      <c r="F147" s="58" t="str">
        <f>VLOOKUP(B147,rep_roster!$A:$D,4,0)</f>
        <v>SMB</v>
      </c>
      <c r="G147" s="58" t="str">
        <f>VLOOKUP(B147,rep_roster!$A:$C,3,0)</f>
        <v>SDR</v>
      </c>
      <c r="H147" s="33">
        <v>16</v>
      </c>
      <c r="I147" s="33">
        <v>14</v>
      </c>
      <c r="J147" s="59">
        <f t="shared" si="13"/>
        <v>0.875</v>
      </c>
      <c r="K147" s="60">
        <f t="shared" si="14"/>
        <v>-2</v>
      </c>
    </row>
    <row r="148" spans="1:11" ht="15" customHeight="1" x14ac:dyDescent="0.35">
      <c r="A148" s="52" t="str">
        <f t="shared" si="12"/>
        <v>R01710</v>
      </c>
      <c r="B148" s="25" t="s">
        <v>168</v>
      </c>
      <c r="C148" s="52" t="str">
        <f>VLOOKUP(B148,rep_roster!$A:$B,2,0)</f>
        <v>Derek Washington</v>
      </c>
      <c r="D148" s="25">
        <v>10</v>
      </c>
      <c r="E148" s="61" t="str">
        <f>INDEX({"Jan","Feb","Mar","Apr","May","Jun","Jul","Aug","Sep","Oct","Nov","Dec"},D148)</f>
        <v>Oct</v>
      </c>
      <c r="F148" s="61" t="str">
        <f>VLOOKUP(B148,rep_roster!$A:$D,4,0)</f>
        <v>SMB</v>
      </c>
      <c r="G148" s="61" t="str">
        <f>VLOOKUP(B148,rep_roster!$A:$C,3,0)</f>
        <v>SDR</v>
      </c>
      <c r="H148" s="39">
        <v>16</v>
      </c>
      <c r="I148" s="39">
        <v>12</v>
      </c>
      <c r="J148" s="62">
        <f t="shared" si="13"/>
        <v>0.75</v>
      </c>
      <c r="K148" s="63">
        <f t="shared" si="14"/>
        <v>-4</v>
      </c>
    </row>
    <row r="149" spans="1:11" ht="15" customHeight="1" x14ac:dyDescent="0.35">
      <c r="A149" s="49" t="str">
        <f t="shared" si="12"/>
        <v>R01711</v>
      </c>
      <c r="B149" s="22" t="s">
        <v>168</v>
      </c>
      <c r="C149" s="49" t="str">
        <f>VLOOKUP(B149,rep_roster!$A:$B,2,0)</f>
        <v>Derek Washington</v>
      </c>
      <c r="D149" s="22">
        <v>11</v>
      </c>
      <c r="E149" s="58" t="str">
        <f>INDEX({"Jan","Feb","Mar","Apr","May","Jun","Jul","Aug","Sep","Oct","Nov","Dec"},D149)</f>
        <v>Nov</v>
      </c>
      <c r="F149" s="58" t="str">
        <f>VLOOKUP(B149,rep_roster!$A:$D,4,0)</f>
        <v>SMB</v>
      </c>
      <c r="G149" s="58" t="str">
        <f>VLOOKUP(B149,rep_roster!$A:$C,3,0)</f>
        <v>SDR</v>
      </c>
      <c r="H149" s="33">
        <v>16</v>
      </c>
      <c r="I149" s="33">
        <v>14</v>
      </c>
      <c r="J149" s="59">
        <f t="shared" si="13"/>
        <v>0.875</v>
      </c>
      <c r="K149" s="60">
        <f t="shared" si="14"/>
        <v>-2</v>
      </c>
    </row>
    <row r="150" spans="1:11" ht="15" customHeight="1" x14ac:dyDescent="0.35">
      <c r="A150" s="52" t="str">
        <f t="shared" si="12"/>
        <v>R01712</v>
      </c>
      <c r="B150" s="25" t="s">
        <v>168</v>
      </c>
      <c r="C150" s="52" t="str">
        <f>VLOOKUP(B150,rep_roster!$A:$B,2,0)</f>
        <v>Derek Washington</v>
      </c>
      <c r="D150" s="25">
        <v>12</v>
      </c>
      <c r="E150" s="61" t="str">
        <f>INDEX({"Jan","Feb","Mar","Apr","May","Jun","Jul","Aug","Sep","Oct","Nov","Dec"},D150)</f>
        <v>Dec</v>
      </c>
      <c r="F150" s="61" t="str">
        <f>VLOOKUP(B150,rep_roster!$A:$D,4,0)</f>
        <v>SMB</v>
      </c>
      <c r="G150" s="61" t="str">
        <f>VLOOKUP(B150,rep_roster!$A:$C,3,0)</f>
        <v>SDR</v>
      </c>
      <c r="H150" s="39">
        <v>16</v>
      </c>
      <c r="I150" s="39">
        <v>16</v>
      </c>
      <c r="J150" s="62">
        <f t="shared" si="13"/>
        <v>1</v>
      </c>
      <c r="K150" s="63">
        <f t="shared" si="14"/>
        <v>0</v>
      </c>
    </row>
    <row r="151" spans="1:11" ht="15" customHeight="1" x14ac:dyDescent="0.35">
      <c r="A151" s="49" t="str">
        <f t="shared" si="12"/>
        <v>R01801</v>
      </c>
      <c r="B151" s="22" t="s">
        <v>172</v>
      </c>
      <c r="C151" s="49" t="str">
        <f>VLOOKUP(B151,rep_roster!$A:$B,2,0)</f>
        <v>Brandon Cole</v>
      </c>
      <c r="D151" s="22">
        <v>1</v>
      </c>
      <c r="E151" s="58" t="str">
        <f>INDEX({"Jan","Feb","Mar","Apr","May","Jun","Jul","Aug","Sep","Oct","Nov","Dec"},D151)</f>
        <v>Jan</v>
      </c>
      <c r="F151" s="58" t="str">
        <f>VLOOKUP(B151,rep_roster!$A:$D,4,0)</f>
        <v>SMB</v>
      </c>
      <c r="G151" s="58" t="str">
        <f>VLOOKUP(B151,rep_roster!$A:$C,3,0)</f>
        <v>AE</v>
      </c>
      <c r="H151" s="32">
        <v>25000</v>
      </c>
      <c r="I151" s="32">
        <v>18000</v>
      </c>
      <c r="J151" s="59">
        <f t="shared" si="13"/>
        <v>0.72</v>
      </c>
      <c r="K151" s="50">
        <f t="shared" si="14"/>
        <v>-7000</v>
      </c>
    </row>
    <row r="152" spans="1:11" ht="15" customHeight="1" x14ac:dyDescent="0.35">
      <c r="A152" s="52" t="str">
        <f t="shared" si="12"/>
        <v>R01802</v>
      </c>
      <c r="B152" s="25" t="s">
        <v>172</v>
      </c>
      <c r="C152" s="52" t="str">
        <f>VLOOKUP(B152,rep_roster!$A:$B,2,0)</f>
        <v>Brandon Cole</v>
      </c>
      <c r="D152" s="25">
        <v>2</v>
      </c>
      <c r="E152" s="61" t="str">
        <f>INDEX({"Jan","Feb","Mar","Apr","May","Jun","Jul","Aug","Sep","Oct","Nov","Dec"},D152)</f>
        <v>Feb</v>
      </c>
      <c r="F152" s="61" t="str">
        <f>VLOOKUP(B152,rep_roster!$A:$D,4,0)</f>
        <v>SMB</v>
      </c>
      <c r="G152" s="61" t="str">
        <f>VLOOKUP(B152,rep_roster!$A:$C,3,0)</f>
        <v>AE</v>
      </c>
      <c r="H152" s="38">
        <v>25000</v>
      </c>
      <c r="I152" s="38">
        <v>15000</v>
      </c>
      <c r="J152" s="62">
        <f t="shared" si="13"/>
        <v>0.6</v>
      </c>
      <c r="K152" s="53">
        <f t="shared" si="14"/>
        <v>-10000</v>
      </c>
    </row>
    <row r="153" spans="1:11" ht="15" customHeight="1" x14ac:dyDescent="0.35">
      <c r="A153" s="49" t="str">
        <f t="shared" si="12"/>
        <v>R01803</v>
      </c>
      <c r="B153" s="22" t="s">
        <v>172</v>
      </c>
      <c r="C153" s="49" t="str">
        <f>VLOOKUP(B153,rep_roster!$A:$B,2,0)</f>
        <v>Brandon Cole</v>
      </c>
      <c r="D153" s="22">
        <v>3</v>
      </c>
      <c r="E153" s="58" t="str">
        <f>INDEX({"Jan","Feb","Mar","Apr","May","Jun","Jul","Aug","Sep","Oct","Nov","Dec"},D153)</f>
        <v>Mar</v>
      </c>
      <c r="F153" s="58" t="str">
        <f>VLOOKUP(B153,rep_roster!$A:$D,4,0)</f>
        <v>SMB</v>
      </c>
      <c r="G153" s="58" t="str">
        <f>VLOOKUP(B153,rep_roster!$A:$C,3,0)</f>
        <v>AE</v>
      </c>
      <c r="H153" s="32">
        <v>25000</v>
      </c>
      <c r="I153" s="32">
        <v>20000</v>
      </c>
      <c r="J153" s="59">
        <f t="shared" si="13"/>
        <v>0.8</v>
      </c>
      <c r="K153" s="50">
        <f t="shared" si="14"/>
        <v>-5000</v>
      </c>
    </row>
    <row r="154" spans="1:11" ht="15" customHeight="1" x14ac:dyDescent="0.35">
      <c r="A154" s="52" t="str">
        <f t="shared" si="12"/>
        <v>R01804</v>
      </c>
      <c r="B154" s="25" t="s">
        <v>172</v>
      </c>
      <c r="C154" s="52" t="str">
        <f>VLOOKUP(B154,rep_roster!$A:$B,2,0)</f>
        <v>Brandon Cole</v>
      </c>
      <c r="D154" s="25">
        <v>4</v>
      </c>
      <c r="E154" s="61" t="str">
        <f>INDEX({"Jan","Feb","Mar","Apr","May","Jun","Jul","Aug","Sep","Oct","Nov","Dec"},D154)</f>
        <v>Apr</v>
      </c>
      <c r="F154" s="61" t="str">
        <f>VLOOKUP(B154,rep_roster!$A:$D,4,0)</f>
        <v>SMB</v>
      </c>
      <c r="G154" s="61" t="str">
        <f>VLOOKUP(B154,rep_roster!$A:$C,3,0)</f>
        <v>AE</v>
      </c>
      <c r="H154" s="38">
        <v>25000</v>
      </c>
      <c r="I154" s="38">
        <v>17000</v>
      </c>
      <c r="J154" s="62">
        <f t="shared" si="13"/>
        <v>0.68</v>
      </c>
      <c r="K154" s="53">
        <f t="shared" si="14"/>
        <v>-8000</v>
      </c>
    </row>
    <row r="155" spans="1:11" ht="15" customHeight="1" x14ac:dyDescent="0.35">
      <c r="A155" s="49" t="str">
        <f t="shared" si="12"/>
        <v>R01805</v>
      </c>
      <c r="B155" s="22" t="s">
        <v>172</v>
      </c>
      <c r="C155" s="49" t="str">
        <f>VLOOKUP(B155,rep_roster!$A:$B,2,0)</f>
        <v>Brandon Cole</v>
      </c>
      <c r="D155" s="22">
        <v>5</v>
      </c>
      <c r="E155" s="58" t="str">
        <f>INDEX({"Jan","Feb","Mar","Apr","May","Jun","Jul","Aug","Sep","Oct","Nov","Dec"},D155)</f>
        <v>May</v>
      </c>
      <c r="F155" s="58" t="str">
        <f>VLOOKUP(B155,rep_roster!$A:$D,4,0)</f>
        <v>SMB</v>
      </c>
      <c r="G155" s="58" t="str">
        <f>VLOOKUP(B155,rep_roster!$A:$C,3,0)</f>
        <v>AE</v>
      </c>
      <c r="H155" s="32">
        <v>25000</v>
      </c>
      <c r="I155" s="32">
        <v>15000</v>
      </c>
      <c r="J155" s="59">
        <f t="shared" si="13"/>
        <v>0.6</v>
      </c>
      <c r="K155" s="50">
        <f t="shared" si="14"/>
        <v>-10000</v>
      </c>
    </row>
    <row r="156" spans="1:11" ht="15" customHeight="1" x14ac:dyDescent="0.35">
      <c r="A156" s="52" t="str">
        <f t="shared" si="12"/>
        <v>R01806</v>
      </c>
      <c r="B156" s="25" t="s">
        <v>172</v>
      </c>
      <c r="C156" s="52" t="str">
        <f>VLOOKUP(B156,rep_roster!$A:$B,2,0)</f>
        <v>Brandon Cole</v>
      </c>
      <c r="D156" s="25">
        <v>6</v>
      </c>
      <c r="E156" s="61" t="str">
        <f>INDEX({"Jan","Feb","Mar","Apr","May","Jun","Jul","Aug","Sep","Oct","Nov","Dec"},D156)</f>
        <v>Jun</v>
      </c>
      <c r="F156" s="61" t="str">
        <f>VLOOKUP(B156,rep_roster!$A:$D,4,0)</f>
        <v>SMB</v>
      </c>
      <c r="G156" s="61" t="str">
        <f>VLOOKUP(B156,rep_roster!$A:$C,3,0)</f>
        <v>AE</v>
      </c>
      <c r="H156" s="38">
        <v>25000</v>
      </c>
      <c r="I156" s="38">
        <v>14000</v>
      </c>
      <c r="J156" s="62">
        <f t="shared" si="13"/>
        <v>0.56000000000000005</v>
      </c>
      <c r="K156" s="53">
        <f t="shared" si="14"/>
        <v>-11000</v>
      </c>
    </row>
    <row r="157" spans="1:11" ht="15" customHeight="1" x14ac:dyDescent="0.35">
      <c r="A157" s="49" t="str">
        <f t="shared" si="12"/>
        <v>R01907</v>
      </c>
      <c r="B157" s="22" t="s">
        <v>174</v>
      </c>
      <c r="C157" s="49" t="str">
        <f>VLOOKUP(B157,rep_roster!$A:$B,2,0)</f>
        <v>Stephanie Kim</v>
      </c>
      <c r="D157" s="22">
        <v>7</v>
      </c>
      <c r="E157" s="58" t="str">
        <f>INDEX({"Jan","Feb","Mar","Apr","May","Jun","Jul","Aug","Sep","Oct","Nov","Dec"},D157)</f>
        <v>Jul</v>
      </c>
      <c r="F157" s="58" t="str">
        <f>VLOOKUP(B157,rep_roster!$A:$D,4,0)</f>
        <v>SMB</v>
      </c>
      <c r="G157" s="58" t="str">
        <f>VLOOKUP(B157,rep_roster!$A:$C,3,0)</f>
        <v>AE</v>
      </c>
      <c r="H157" s="32">
        <v>10000</v>
      </c>
      <c r="I157" s="32">
        <v>10000</v>
      </c>
      <c r="J157" s="59">
        <f t="shared" si="13"/>
        <v>1</v>
      </c>
      <c r="K157" s="50">
        <f t="shared" si="14"/>
        <v>0</v>
      </c>
    </row>
    <row r="158" spans="1:11" ht="15" customHeight="1" x14ac:dyDescent="0.35">
      <c r="A158" s="52" t="str">
        <f t="shared" si="12"/>
        <v>R01908</v>
      </c>
      <c r="B158" s="25" t="s">
        <v>174</v>
      </c>
      <c r="C158" s="52" t="str">
        <f>VLOOKUP(B158,rep_roster!$A:$B,2,0)</f>
        <v>Stephanie Kim</v>
      </c>
      <c r="D158" s="25">
        <v>8</v>
      </c>
      <c r="E158" s="61" t="str">
        <f>INDEX({"Jan","Feb","Mar","Apr","May","Jun","Jul","Aug","Sep","Oct","Nov","Dec"},D158)</f>
        <v>Aug</v>
      </c>
      <c r="F158" s="61" t="str">
        <f>VLOOKUP(B158,rep_roster!$A:$D,4,0)</f>
        <v>SMB</v>
      </c>
      <c r="G158" s="61" t="str">
        <f>VLOOKUP(B158,rep_roster!$A:$C,3,0)</f>
        <v>AE</v>
      </c>
      <c r="H158" s="38">
        <v>17500</v>
      </c>
      <c r="I158" s="38">
        <v>17000</v>
      </c>
      <c r="J158" s="62">
        <f t="shared" si="13"/>
        <v>0.97142857142857142</v>
      </c>
      <c r="K158" s="53">
        <f t="shared" si="14"/>
        <v>-500</v>
      </c>
    </row>
    <row r="159" spans="1:11" ht="15" customHeight="1" x14ac:dyDescent="0.35">
      <c r="A159" s="49" t="str">
        <f t="shared" si="12"/>
        <v>R01909</v>
      </c>
      <c r="B159" s="22" t="s">
        <v>174</v>
      </c>
      <c r="C159" s="49" t="str">
        <f>VLOOKUP(B159,rep_roster!$A:$B,2,0)</f>
        <v>Stephanie Kim</v>
      </c>
      <c r="D159" s="22">
        <v>9</v>
      </c>
      <c r="E159" s="58" t="str">
        <f>INDEX({"Jan","Feb","Mar","Apr","May","Jun","Jul","Aug","Sep","Oct","Nov","Dec"},D159)</f>
        <v>Sep</v>
      </c>
      <c r="F159" s="58" t="str">
        <f>VLOOKUP(B159,rep_roster!$A:$D,4,0)</f>
        <v>SMB</v>
      </c>
      <c r="G159" s="58" t="str">
        <f>VLOOKUP(B159,rep_roster!$A:$C,3,0)</f>
        <v>AE</v>
      </c>
      <c r="H159" s="32">
        <v>25000</v>
      </c>
      <c r="I159" s="32">
        <v>25000</v>
      </c>
      <c r="J159" s="59">
        <f t="shared" si="13"/>
        <v>1</v>
      </c>
      <c r="K159" s="50">
        <f t="shared" si="14"/>
        <v>0</v>
      </c>
    </row>
    <row r="160" spans="1:11" ht="15" customHeight="1" x14ac:dyDescent="0.35">
      <c r="A160" s="52" t="str">
        <f t="shared" si="12"/>
        <v>R01910</v>
      </c>
      <c r="B160" s="25" t="s">
        <v>174</v>
      </c>
      <c r="C160" s="52" t="str">
        <f>VLOOKUP(B160,rep_roster!$A:$B,2,0)</f>
        <v>Stephanie Kim</v>
      </c>
      <c r="D160" s="25">
        <v>10</v>
      </c>
      <c r="E160" s="61" t="str">
        <f>INDEX({"Jan","Feb","Mar","Apr","May","Jun","Jul","Aug","Sep","Oct","Nov","Dec"},D160)</f>
        <v>Oct</v>
      </c>
      <c r="F160" s="61" t="str">
        <f>VLOOKUP(B160,rep_roster!$A:$D,4,0)</f>
        <v>SMB</v>
      </c>
      <c r="G160" s="61" t="str">
        <f>VLOOKUP(B160,rep_roster!$A:$C,3,0)</f>
        <v>AE</v>
      </c>
      <c r="H160" s="38">
        <v>25000</v>
      </c>
      <c r="I160" s="38">
        <v>24000</v>
      </c>
      <c r="J160" s="62">
        <f t="shared" si="13"/>
        <v>0.96</v>
      </c>
      <c r="K160" s="53">
        <f t="shared" si="14"/>
        <v>-1000</v>
      </c>
    </row>
    <row r="161" spans="1:11" ht="15" customHeight="1" x14ac:dyDescent="0.35">
      <c r="A161" s="49" t="str">
        <f t="shared" si="12"/>
        <v>R01911</v>
      </c>
      <c r="B161" s="22" t="s">
        <v>174</v>
      </c>
      <c r="C161" s="49" t="str">
        <f>VLOOKUP(B161,rep_roster!$A:$B,2,0)</f>
        <v>Stephanie Kim</v>
      </c>
      <c r="D161" s="22">
        <v>11</v>
      </c>
      <c r="E161" s="58" t="str">
        <f>INDEX({"Jan","Feb","Mar","Apr","May","Jun","Jul","Aug","Sep","Oct","Nov","Dec"},D161)</f>
        <v>Nov</v>
      </c>
      <c r="F161" s="58" t="str">
        <f>VLOOKUP(B161,rep_roster!$A:$D,4,0)</f>
        <v>SMB</v>
      </c>
      <c r="G161" s="58" t="str">
        <f>VLOOKUP(B161,rep_roster!$A:$C,3,0)</f>
        <v>AE</v>
      </c>
      <c r="H161" s="32">
        <v>25000</v>
      </c>
      <c r="I161" s="32">
        <v>21000</v>
      </c>
      <c r="J161" s="59">
        <f t="shared" si="13"/>
        <v>0.84</v>
      </c>
      <c r="K161" s="50">
        <f t="shared" si="14"/>
        <v>-4000</v>
      </c>
    </row>
    <row r="162" spans="1:11" ht="15" customHeight="1" x14ac:dyDescent="0.35">
      <c r="A162" s="52" t="str">
        <f t="shared" si="12"/>
        <v>R01912</v>
      </c>
      <c r="B162" s="25" t="s">
        <v>174</v>
      </c>
      <c r="C162" s="52" t="str">
        <f>VLOOKUP(B162,rep_roster!$A:$B,2,0)</f>
        <v>Stephanie Kim</v>
      </c>
      <c r="D162" s="25">
        <v>12</v>
      </c>
      <c r="E162" s="61" t="str">
        <f>INDEX({"Jan","Feb","Mar","Apr","May","Jun","Jul","Aug","Sep","Oct","Nov","Dec"},D162)</f>
        <v>Dec</v>
      </c>
      <c r="F162" s="61" t="str">
        <f>VLOOKUP(B162,rep_roster!$A:$D,4,0)</f>
        <v>SMB</v>
      </c>
      <c r="G162" s="61" t="str">
        <f>VLOOKUP(B162,rep_roster!$A:$C,3,0)</f>
        <v>AE</v>
      </c>
      <c r="H162" s="38">
        <v>25000</v>
      </c>
      <c r="I162" s="38">
        <v>26000</v>
      </c>
      <c r="J162" s="62">
        <f t="shared" si="13"/>
        <v>1.04</v>
      </c>
      <c r="K162" s="53">
        <f t="shared" si="14"/>
        <v>1000</v>
      </c>
    </row>
    <row r="163" spans="1:11" ht="15" customHeight="1" x14ac:dyDescent="0.35">
      <c r="A163" s="49" t="str">
        <f t="shared" si="12"/>
        <v>R02001</v>
      </c>
      <c r="B163" s="22" t="s">
        <v>177</v>
      </c>
      <c r="C163" s="49" t="str">
        <f>VLOOKUP(B163,rep_roster!$A:$B,2,0)</f>
        <v>Amy Chen</v>
      </c>
      <c r="D163" s="22">
        <v>1</v>
      </c>
      <c r="E163" s="58" t="str">
        <f>INDEX({"Jan","Feb","Mar","Apr","May","Jun","Jul","Aug","Sep","Oct","Nov","Dec"},D163)</f>
        <v>Jan</v>
      </c>
      <c r="F163" s="58" t="str">
        <f>VLOOKUP(B163,rep_roster!$A:$D,4,0)</f>
        <v>SMB</v>
      </c>
      <c r="G163" s="58" t="str">
        <f>VLOOKUP(B163,rep_roster!$A:$C,3,0)</f>
        <v>AE</v>
      </c>
      <c r="H163" s="32">
        <v>25000</v>
      </c>
      <c r="I163" s="32">
        <v>32000</v>
      </c>
      <c r="J163" s="59">
        <f t="shared" si="13"/>
        <v>1.28</v>
      </c>
      <c r="K163" s="50">
        <f t="shared" si="14"/>
        <v>7000</v>
      </c>
    </row>
    <row r="164" spans="1:11" ht="15" customHeight="1" x14ac:dyDescent="0.35">
      <c r="A164" s="52" t="str">
        <f t="shared" si="12"/>
        <v>R02002</v>
      </c>
      <c r="B164" s="25" t="s">
        <v>177</v>
      </c>
      <c r="C164" s="52" t="str">
        <f>VLOOKUP(B164,rep_roster!$A:$B,2,0)</f>
        <v>Amy Chen</v>
      </c>
      <c r="D164" s="25">
        <v>2</v>
      </c>
      <c r="E164" s="61" t="str">
        <f>INDEX({"Jan","Feb","Mar","Apr","May","Jun","Jul","Aug","Sep","Oct","Nov","Dec"},D164)</f>
        <v>Feb</v>
      </c>
      <c r="F164" s="61" t="str">
        <f>VLOOKUP(B164,rep_roster!$A:$D,4,0)</f>
        <v>SMB</v>
      </c>
      <c r="G164" s="61" t="str">
        <f>VLOOKUP(B164,rep_roster!$A:$C,3,0)</f>
        <v>AE</v>
      </c>
      <c r="H164" s="38">
        <v>25000</v>
      </c>
      <c r="I164" s="38">
        <v>29000</v>
      </c>
      <c r="J164" s="62">
        <f t="shared" si="13"/>
        <v>1.1599999999999999</v>
      </c>
      <c r="K164" s="53">
        <f t="shared" si="14"/>
        <v>4000</v>
      </c>
    </row>
    <row r="165" spans="1:11" ht="15" customHeight="1" x14ac:dyDescent="0.35">
      <c r="A165" s="49" t="str">
        <f t="shared" ref="A165:A196" si="15">B165&amp;TEXT(D165,"00")</f>
        <v>R02003</v>
      </c>
      <c r="B165" s="22" t="s">
        <v>177</v>
      </c>
      <c r="C165" s="49" t="str">
        <f>VLOOKUP(B165,rep_roster!$A:$B,2,0)</f>
        <v>Amy Chen</v>
      </c>
      <c r="D165" s="22">
        <v>3</v>
      </c>
      <c r="E165" s="58" t="str">
        <f>INDEX({"Jan","Feb","Mar","Apr","May","Jun","Jul","Aug","Sep","Oct","Nov","Dec"},D165)</f>
        <v>Mar</v>
      </c>
      <c r="F165" s="58" t="str">
        <f>VLOOKUP(B165,rep_roster!$A:$D,4,0)</f>
        <v>SMB</v>
      </c>
      <c r="G165" s="58" t="str">
        <f>VLOOKUP(B165,rep_roster!$A:$C,3,0)</f>
        <v>AE</v>
      </c>
      <c r="H165" s="32">
        <v>25000</v>
      </c>
      <c r="I165" s="32">
        <v>35000</v>
      </c>
      <c r="J165" s="59">
        <f t="shared" ref="J165:J196" si="16">IF(H165&gt;0,I165/H165,0)</f>
        <v>1.4</v>
      </c>
      <c r="K165" s="50">
        <f t="shared" ref="K165:K186" si="17">I165-H165</f>
        <v>10000</v>
      </c>
    </row>
    <row r="166" spans="1:11" ht="15" customHeight="1" x14ac:dyDescent="0.35">
      <c r="A166" s="52" t="str">
        <f t="shared" si="15"/>
        <v>R02004</v>
      </c>
      <c r="B166" s="25" t="s">
        <v>177</v>
      </c>
      <c r="C166" s="52" t="str">
        <f>VLOOKUP(B166,rep_roster!$A:$B,2,0)</f>
        <v>Amy Chen</v>
      </c>
      <c r="D166" s="25">
        <v>4</v>
      </c>
      <c r="E166" s="61" t="str">
        <f>INDEX({"Jan","Feb","Mar","Apr","May","Jun","Jul","Aug","Sep","Oct","Nov","Dec"},D166)</f>
        <v>Apr</v>
      </c>
      <c r="F166" s="61" t="str">
        <f>VLOOKUP(B166,rep_roster!$A:$D,4,0)</f>
        <v>SMB</v>
      </c>
      <c r="G166" s="61" t="str">
        <f>VLOOKUP(B166,rep_roster!$A:$C,3,0)</f>
        <v>AE</v>
      </c>
      <c r="H166" s="38">
        <v>25000</v>
      </c>
      <c r="I166" s="38">
        <v>27000</v>
      </c>
      <c r="J166" s="62">
        <f t="shared" si="16"/>
        <v>1.08</v>
      </c>
      <c r="K166" s="53">
        <f t="shared" si="17"/>
        <v>2000</v>
      </c>
    </row>
    <row r="167" spans="1:11" ht="15" customHeight="1" x14ac:dyDescent="0.35">
      <c r="A167" s="49" t="str">
        <f t="shared" si="15"/>
        <v>R02005</v>
      </c>
      <c r="B167" s="22" t="s">
        <v>177</v>
      </c>
      <c r="C167" s="49" t="str">
        <f>VLOOKUP(B167,rep_roster!$A:$B,2,0)</f>
        <v>Amy Chen</v>
      </c>
      <c r="D167" s="22">
        <v>5</v>
      </c>
      <c r="E167" s="58" t="str">
        <f>INDEX({"Jan","Feb","Mar","Apr","May","Jun","Jul","Aug","Sep","Oct","Nov","Dec"},D167)</f>
        <v>May</v>
      </c>
      <c r="F167" s="58" t="str">
        <f>VLOOKUP(B167,rep_roster!$A:$D,4,0)</f>
        <v>SMB</v>
      </c>
      <c r="G167" s="58" t="str">
        <f>VLOOKUP(B167,rep_roster!$A:$C,3,0)</f>
        <v>AE</v>
      </c>
      <c r="H167" s="32">
        <v>25000</v>
      </c>
      <c r="I167" s="32">
        <v>30000</v>
      </c>
      <c r="J167" s="59">
        <f t="shared" si="16"/>
        <v>1.2</v>
      </c>
      <c r="K167" s="50">
        <f t="shared" si="17"/>
        <v>5000</v>
      </c>
    </row>
    <row r="168" spans="1:11" ht="15" customHeight="1" x14ac:dyDescent="0.35">
      <c r="A168" s="52" t="str">
        <f t="shared" si="15"/>
        <v>R02006</v>
      </c>
      <c r="B168" s="25" t="s">
        <v>177</v>
      </c>
      <c r="C168" s="52" t="str">
        <f>VLOOKUP(B168,rep_roster!$A:$B,2,0)</f>
        <v>Amy Chen</v>
      </c>
      <c r="D168" s="25">
        <v>6</v>
      </c>
      <c r="E168" s="61" t="str">
        <f>INDEX({"Jan","Feb","Mar","Apr","May","Jun","Jul","Aug","Sep","Oct","Nov","Dec"},D168)</f>
        <v>Jun</v>
      </c>
      <c r="F168" s="61" t="str">
        <f>VLOOKUP(B168,rep_roster!$A:$D,4,0)</f>
        <v>SMB</v>
      </c>
      <c r="G168" s="61" t="str">
        <f>VLOOKUP(B168,rep_roster!$A:$C,3,0)</f>
        <v>AE</v>
      </c>
      <c r="H168" s="38">
        <v>25000</v>
      </c>
      <c r="I168" s="38">
        <v>28000</v>
      </c>
      <c r="J168" s="62">
        <f t="shared" si="16"/>
        <v>1.1200000000000001</v>
      </c>
      <c r="K168" s="53">
        <f t="shared" si="17"/>
        <v>3000</v>
      </c>
    </row>
    <row r="169" spans="1:11" ht="15" customHeight="1" x14ac:dyDescent="0.35">
      <c r="A169" s="49" t="str">
        <f t="shared" si="15"/>
        <v>R02007</v>
      </c>
      <c r="B169" s="22" t="s">
        <v>177</v>
      </c>
      <c r="C169" s="49" t="str">
        <f>VLOOKUP(B169,rep_roster!$A:$B,2,0)</f>
        <v>Amy Chen</v>
      </c>
      <c r="D169" s="22">
        <v>7</v>
      </c>
      <c r="E169" s="58" t="str">
        <f>INDEX({"Jan","Feb","Mar","Apr","May","Jun","Jul","Aug","Sep","Oct","Nov","Dec"},D169)</f>
        <v>Jul</v>
      </c>
      <c r="F169" s="58" t="str">
        <f>VLOOKUP(B169,rep_roster!$A:$D,4,0)</f>
        <v>SMB</v>
      </c>
      <c r="G169" s="58" t="str">
        <f>VLOOKUP(B169,rep_roster!$A:$C,3,0)</f>
        <v>AE</v>
      </c>
      <c r="H169" s="32">
        <v>25000</v>
      </c>
      <c r="I169" s="32">
        <v>22000</v>
      </c>
      <c r="J169" s="59">
        <f t="shared" si="16"/>
        <v>0.88</v>
      </c>
      <c r="K169" s="50">
        <f t="shared" si="17"/>
        <v>-3000</v>
      </c>
    </row>
    <row r="170" spans="1:11" ht="15" customHeight="1" x14ac:dyDescent="0.35">
      <c r="A170" s="52" t="str">
        <f t="shared" si="15"/>
        <v>R02008</v>
      </c>
      <c r="B170" s="25" t="s">
        <v>177</v>
      </c>
      <c r="C170" s="52" t="str">
        <f>VLOOKUP(B170,rep_roster!$A:$B,2,0)</f>
        <v>Amy Chen</v>
      </c>
      <c r="D170" s="25">
        <v>8</v>
      </c>
      <c r="E170" s="61" t="str">
        <f>INDEX({"Jan","Feb","Mar","Apr","May","Jun","Jul","Aug","Sep","Oct","Nov","Dec"},D170)</f>
        <v>Aug</v>
      </c>
      <c r="F170" s="61" t="str">
        <f>VLOOKUP(B170,rep_roster!$A:$D,4,0)</f>
        <v>SMB</v>
      </c>
      <c r="G170" s="61" t="str">
        <f>VLOOKUP(B170,rep_roster!$A:$C,3,0)</f>
        <v>AE</v>
      </c>
      <c r="H170" s="38">
        <v>25000</v>
      </c>
      <c r="I170" s="38">
        <v>20000</v>
      </c>
      <c r="J170" s="62">
        <f t="shared" si="16"/>
        <v>0.8</v>
      </c>
      <c r="K170" s="53">
        <f t="shared" si="17"/>
        <v>-5000</v>
      </c>
    </row>
    <row r="171" spans="1:11" ht="15" customHeight="1" x14ac:dyDescent="0.35">
      <c r="A171" s="49" t="str">
        <f t="shared" si="15"/>
        <v>R02009</v>
      </c>
      <c r="B171" s="22" t="s">
        <v>177</v>
      </c>
      <c r="C171" s="49" t="str">
        <f>VLOOKUP(B171,rep_roster!$A:$B,2,0)</f>
        <v>Amy Chen</v>
      </c>
      <c r="D171" s="22">
        <v>9</v>
      </c>
      <c r="E171" s="58" t="str">
        <f>INDEX({"Jan","Feb","Mar","Apr","May","Jun","Jul","Aug","Sep","Oct","Nov","Dec"},D171)</f>
        <v>Sep</v>
      </c>
      <c r="F171" s="58" t="str">
        <f>VLOOKUP(B171,rep_roster!$A:$D,4,0)</f>
        <v>SMB</v>
      </c>
      <c r="G171" s="58" t="str">
        <f>VLOOKUP(B171,rep_roster!$A:$C,3,0)</f>
        <v>AE</v>
      </c>
      <c r="H171" s="32">
        <v>25000</v>
      </c>
      <c r="I171" s="32">
        <v>25000</v>
      </c>
      <c r="J171" s="59">
        <f t="shared" si="16"/>
        <v>1</v>
      </c>
      <c r="K171" s="50">
        <f t="shared" si="17"/>
        <v>0</v>
      </c>
    </row>
    <row r="172" spans="1:11" ht="15" customHeight="1" x14ac:dyDescent="0.35">
      <c r="A172" s="52" t="str">
        <f t="shared" si="15"/>
        <v>R02010</v>
      </c>
      <c r="B172" s="25" t="s">
        <v>177</v>
      </c>
      <c r="C172" s="52" t="str">
        <f>VLOOKUP(B172,rep_roster!$A:$B,2,0)</f>
        <v>Amy Chen</v>
      </c>
      <c r="D172" s="25">
        <v>10</v>
      </c>
      <c r="E172" s="61" t="str">
        <f>INDEX({"Jan","Feb","Mar","Apr","May","Jun","Jul","Aug","Sep","Oct","Nov","Dec"},D172)</f>
        <v>Oct</v>
      </c>
      <c r="F172" s="61" t="str">
        <f>VLOOKUP(B172,rep_roster!$A:$D,4,0)</f>
        <v>SMB</v>
      </c>
      <c r="G172" s="61" t="str">
        <f>VLOOKUP(B172,rep_roster!$A:$C,3,0)</f>
        <v>AE</v>
      </c>
      <c r="H172" s="38">
        <v>25000</v>
      </c>
      <c r="I172" s="38">
        <v>19000</v>
      </c>
      <c r="J172" s="62">
        <f t="shared" si="16"/>
        <v>0.76</v>
      </c>
      <c r="K172" s="53">
        <f t="shared" si="17"/>
        <v>-6000</v>
      </c>
    </row>
    <row r="173" spans="1:11" ht="15" customHeight="1" x14ac:dyDescent="0.35">
      <c r="A173" s="49" t="str">
        <f t="shared" si="15"/>
        <v>R02011</v>
      </c>
      <c r="B173" s="22" t="s">
        <v>177</v>
      </c>
      <c r="C173" s="49" t="str">
        <f>VLOOKUP(B173,rep_roster!$A:$B,2,0)</f>
        <v>Amy Chen</v>
      </c>
      <c r="D173" s="22">
        <v>11</v>
      </c>
      <c r="E173" s="58" t="str">
        <f>INDEX({"Jan","Feb","Mar","Apr","May","Jun","Jul","Aug","Sep","Oct","Nov","Dec"},D173)</f>
        <v>Nov</v>
      </c>
      <c r="F173" s="58" t="str">
        <f>VLOOKUP(B173,rep_roster!$A:$D,4,0)</f>
        <v>SMB</v>
      </c>
      <c r="G173" s="58" t="str">
        <f>VLOOKUP(B173,rep_roster!$A:$C,3,0)</f>
        <v>AE</v>
      </c>
      <c r="H173" s="32">
        <v>25000</v>
      </c>
      <c r="I173" s="32">
        <v>22000</v>
      </c>
      <c r="J173" s="59">
        <f t="shared" si="16"/>
        <v>0.88</v>
      </c>
      <c r="K173" s="50">
        <f t="shared" si="17"/>
        <v>-3000</v>
      </c>
    </row>
    <row r="174" spans="1:11" ht="15" customHeight="1" x14ac:dyDescent="0.35">
      <c r="A174" s="52" t="str">
        <f t="shared" si="15"/>
        <v>R02012</v>
      </c>
      <c r="B174" s="25" t="s">
        <v>177</v>
      </c>
      <c r="C174" s="52" t="str">
        <f>VLOOKUP(B174,rep_roster!$A:$B,2,0)</f>
        <v>Amy Chen</v>
      </c>
      <c r="D174" s="25">
        <v>12</v>
      </c>
      <c r="E174" s="61" t="str">
        <f>INDEX({"Jan","Feb","Mar","Apr","May","Jun","Jul","Aug","Sep","Oct","Nov","Dec"},D174)</f>
        <v>Dec</v>
      </c>
      <c r="F174" s="61" t="str">
        <f>VLOOKUP(B174,rep_roster!$A:$D,4,0)</f>
        <v>SMB</v>
      </c>
      <c r="G174" s="61" t="str">
        <f>VLOOKUP(B174,rep_roster!$A:$C,3,0)</f>
        <v>AE</v>
      </c>
      <c r="H174" s="38">
        <v>25000</v>
      </c>
      <c r="I174" s="38">
        <v>28000</v>
      </c>
      <c r="J174" s="62">
        <f t="shared" si="16"/>
        <v>1.1200000000000001</v>
      </c>
      <c r="K174" s="53">
        <f t="shared" si="17"/>
        <v>3000</v>
      </c>
    </row>
    <row r="175" spans="1:11" ht="15" customHeight="1" x14ac:dyDescent="0.35">
      <c r="A175" s="49" t="str">
        <f t="shared" si="15"/>
        <v>R02101</v>
      </c>
      <c r="B175" s="22" t="s">
        <v>179</v>
      </c>
      <c r="C175" s="49" t="str">
        <f>VLOOKUP(B175,rep_roster!$A:$B,2,0)</f>
        <v>Jennifer Walsh</v>
      </c>
      <c r="D175" s="22">
        <v>1</v>
      </c>
      <c r="E175" s="58" t="str">
        <f>INDEX({"Jan","Feb","Mar","Apr","May","Jun","Jul","Aug","Sep","Oct","Nov","Dec"},D175)</f>
        <v>Jan</v>
      </c>
      <c r="F175" s="58" t="str">
        <f>VLOOKUP(B175,rep_roster!$A:$D,4,0)</f>
        <v>SMB</v>
      </c>
      <c r="G175" s="58" t="str">
        <f>VLOOKUP(B175,rep_roster!$A:$C,3,0)</f>
        <v>CSM</v>
      </c>
      <c r="H175" s="32">
        <v>5000</v>
      </c>
      <c r="I175" s="32">
        <v>7000</v>
      </c>
      <c r="J175" s="59">
        <f t="shared" si="16"/>
        <v>1.4</v>
      </c>
      <c r="K175" s="50">
        <f t="shared" si="17"/>
        <v>2000</v>
      </c>
    </row>
    <row r="176" spans="1:11" ht="15" customHeight="1" x14ac:dyDescent="0.35">
      <c r="A176" s="52" t="str">
        <f t="shared" si="15"/>
        <v>R02102</v>
      </c>
      <c r="B176" s="25" t="s">
        <v>179</v>
      </c>
      <c r="C176" s="52" t="str">
        <f>VLOOKUP(B176,rep_roster!$A:$B,2,0)</f>
        <v>Jennifer Walsh</v>
      </c>
      <c r="D176" s="25">
        <v>2</v>
      </c>
      <c r="E176" s="61" t="str">
        <f>INDEX({"Jan","Feb","Mar","Apr","May","Jun","Jul","Aug","Sep","Oct","Nov","Dec"},D176)</f>
        <v>Feb</v>
      </c>
      <c r="F176" s="61" t="str">
        <f>VLOOKUP(B176,rep_roster!$A:$D,4,0)</f>
        <v>SMB</v>
      </c>
      <c r="G176" s="61" t="str">
        <f>VLOOKUP(B176,rep_roster!$A:$C,3,0)</f>
        <v>CSM</v>
      </c>
      <c r="H176" s="38">
        <v>5000</v>
      </c>
      <c r="I176" s="38">
        <v>6000</v>
      </c>
      <c r="J176" s="62">
        <f t="shared" si="16"/>
        <v>1.2</v>
      </c>
      <c r="K176" s="53">
        <f t="shared" si="17"/>
        <v>1000</v>
      </c>
    </row>
    <row r="177" spans="1:11" ht="15" customHeight="1" x14ac:dyDescent="0.35">
      <c r="A177" s="49" t="str">
        <f t="shared" si="15"/>
        <v>R02103</v>
      </c>
      <c r="B177" s="22" t="s">
        <v>179</v>
      </c>
      <c r="C177" s="49" t="str">
        <f>VLOOKUP(B177,rep_roster!$A:$B,2,0)</f>
        <v>Jennifer Walsh</v>
      </c>
      <c r="D177" s="22">
        <v>3</v>
      </c>
      <c r="E177" s="58" t="str">
        <f>INDEX({"Jan","Feb","Mar","Apr","May","Jun","Jul","Aug","Sep","Oct","Nov","Dec"},D177)</f>
        <v>Mar</v>
      </c>
      <c r="F177" s="58" t="str">
        <f>VLOOKUP(B177,rep_roster!$A:$D,4,0)</f>
        <v>SMB</v>
      </c>
      <c r="G177" s="58" t="str">
        <f>VLOOKUP(B177,rep_roster!$A:$C,3,0)</f>
        <v>CSM</v>
      </c>
      <c r="H177" s="32">
        <v>5000</v>
      </c>
      <c r="I177" s="32">
        <v>8000</v>
      </c>
      <c r="J177" s="59">
        <f t="shared" si="16"/>
        <v>1.6</v>
      </c>
      <c r="K177" s="50">
        <f t="shared" si="17"/>
        <v>3000</v>
      </c>
    </row>
    <row r="178" spans="1:11" ht="15" customHeight="1" x14ac:dyDescent="0.35">
      <c r="A178" s="52" t="str">
        <f t="shared" si="15"/>
        <v>R02104</v>
      </c>
      <c r="B178" s="25" t="s">
        <v>179</v>
      </c>
      <c r="C178" s="52" t="str">
        <f>VLOOKUP(B178,rep_roster!$A:$B,2,0)</f>
        <v>Jennifer Walsh</v>
      </c>
      <c r="D178" s="25">
        <v>4</v>
      </c>
      <c r="E178" s="61" t="str">
        <f>INDEX({"Jan","Feb","Mar","Apr","May","Jun","Jul","Aug","Sep","Oct","Nov","Dec"},D178)</f>
        <v>Apr</v>
      </c>
      <c r="F178" s="61" t="str">
        <f>VLOOKUP(B178,rep_roster!$A:$D,4,0)</f>
        <v>SMB</v>
      </c>
      <c r="G178" s="61" t="str">
        <f>VLOOKUP(B178,rep_roster!$A:$C,3,0)</f>
        <v>CSM</v>
      </c>
      <c r="H178" s="38">
        <v>5000</v>
      </c>
      <c r="I178" s="38">
        <v>6000</v>
      </c>
      <c r="J178" s="62">
        <f t="shared" si="16"/>
        <v>1.2</v>
      </c>
      <c r="K178" s="53">
        <f t="shared" si="17"/>
        <v>1000</v>
      </c>
    </row>
    <row r="179" spans="1:11" ht="15" customHeight="1" x14ac:dyDescent="0.35">
      <c r="A179" s="49" t="str">
        <f t="shared" si="15"/>
        <v>R02105</v>
      </c>
      <c r="B179" s="22" t="s">
        <v>179</v>
      </c>
      <c r="C179" s="49" t="str">
        <f>VLOOKUP(B179,rep_roster!$A:$B,2,0)</f>
        <v>Jennifer Walsh</v>
      </c>
      <c r="D179" s="22">
        <v>5</v>
      </c>
      <c r="E179" s="58" t="str">
        <f>INDEX({"Jan","Feb","Mar","Apr","May","Jun","Jul","Aug","Sep","Oct","Nov","Dec"},D179)</f>
        <v>May</v>
      </c>
      <c r="F179" s="58" t="str">
        <f>VLOOKUP(B179,rep_roster!$A:$D,4,0)</f>
        <v>SMB</v>
      </c>
      <c r="G179" s="58" t="str">
        <f>VLOOKUP(B179,rep_roster!$A:$C,3,0)</f>
        <v>CSM</v>
      </c>
      <c r="H179" s="32">
        <v>5000</v>
      </c>
      <c r="I179" s="32">
        <v>5500</v>
      </c>
      <c r="J179" s="59">
        <f t="shared" si="16"/>
        <v>1.1000000000000001</v>
      </c>
      <c r="K179" s="50">
        <f t="shared" si="17"/>
        <v>500</v>
      </c>
    </row>
    <row r="180" spans="1:11" ht="15" customHeight="1" x14ac:dyDescent="0.35">
      <c r="A180" s="52" t="str">
        <f t="shared" si="15"/>
        <v>R02106</v>
      </c>
      <c r="B180" s="25" t="s">
        <v>179</v>
      </c>
      <c r="C180" s="52" t="str">
        <f>VLOOKUP(B180,rep_roster!$A:$B,2,0)</f>
        <v>Jennifer Walsh</v>
      </c>
      <c r="D180" s="25">
        <v>6</v>
      </c>
      <c r="E180" s="61" t="str">
        <f>INDEX({"Jan","Feb","Mar","Apr","May","Jun","Jul","Aug","Sep","Oct","Nov","Dec"},D180)</f>
        <v>Jun</v>
      </c>
      <c r="F180" s="61" t="str">
        <f>VLOOKUP(B180,rep_roster!$A:$D,4,0)</f>
        <v>SMB</v>
      </c>
      <c r="G180" s="61" t="str">
        <f>VLOOKUP(B180,rep_roster!$A:$C,3,0)</f>
        <v>CSM</v>
      </c>
      <c r="H180" s="38">
        <v>5000</v>
      </c>
      <c r="I180" s="38">
        <v>6000</v>
      </c>
      <c r="J180" s="62">
        <f t="shared" si="16"/>
        <v>1.2</v>
      </c>
      <c r="K180" s="53">
        <f t="shared" si="17"/>
        <v>1000</v>
      </c>
    </row>
    <row r="181" spans="1:11" ht="15" customHeight="1" x14ac:dyDescent="0.35">
      <c r="A181" s="49" t="str">
        <f t="shared" si="15"/>
        <v>R02107</v>
      </c>
      <c r="B181" s="22" t="s">
        <v>179</v>
      </c>
      <c r="C181" s="49" t="str">
        <f>VLOOKUP(B181,rep_roster!$A:$B,2,0)</f>
        <v>Jennifer Walsh</v>
      </c>
      <c r="D181" s="22">
        <v>7</v>
      </c>
      <c r="E181" s="58" t="str">
        <f>INDEX({"Jan","Feb","Mar","Apr","May","Jun","Jul","Aug","Sep","Oct","Nov","Dec"},D181)</f>
        <v>Jul</v>
      </c>
      <c r="F181" s="58" t="str">
        <f>VLOOKUP(B181,rep_roster!$A:$D,4,0)</f>
        <v>SMB</v>
      </c>
      <c r="G181" s="58" t="str">
        <f>VLOOKUP(B181,rep_roster!$A:$C,3,0)</f>
        <v>CSM</v>
      </c>
      <c r="H181" s="32">
        <v>5000</v>
      </c>
      <c r="I181" s="32">
        <v>4500</v>
      </c>
      <c r="J181" s="59">
        <f t="shared" si="16"/>
        <v>0.9</v>
      </c>
      <c r="K181" s="50">
        <f t="shared" si="17"/>
        <v>-500</v>
      </c>
    </row>
    <row r="182" spans="1:11" ht="15" customHeight="1" x14ac:dyDescent="0.35">
      <c r="A182" s="52" t="str">
        <f t="shared" si="15"/>
        <v>R02108</v>
      </c>
      <c r="B182" s="25" t="s">
        <v>179</v>
      </c>
      <c r="C182" s="52" t="str">
        <f>VLOOKUP(B182,rep_roster!$A:$B,2,0)</f>
        <v>Jennifer Walsh</v>
      </c>
      <c r="D182" s="25">
        <v>8</v>
      </c>
      <c r="E182" s="61" t="str">
        <f>INDEX({"Jan","Feb","Mar","Apr","May","Jun","Jul","Aug","Sep","Oct","Nov","Dec"},D182)</f>
        <v>Aug</v>
      </c>
      <c r="F182" s="61" t="str">
        <f>VLOOKUP(B182,rep_roster!$A:$D,4,0)</f>
        <v>SMB</v>
      </c>
      <c r="G182" s="61" t="str">
        <f>VLOOKUP(B182,rep_roster!$A:$C,3,0)</f>
        <v>CSM</v>
      </c>
      <c r="H182" s="38">
        <v>5000</v>
      </c>
      <c r="I182" s="38">
        <v>4000</v>
      </c>
      <c r="J182" s="62">
        <f t="shared" si="16"/>
        <v>0.8</v>
      </c>
      <c r="K182" s="53">
        <f t="shared" si="17"/>
        <v>-1000</v>
      </c>
    </row>
    <row r="183" spans="1:11" ht="15" customHeight="1" x14ac:dyDescent="0.35">
      <c r="A183" s="49" t="str">
        <f t="shared" si="15"/>
        <v>R02109</v>
      </c>
      <c r="B183" s="22" t="s">
        <v>179</v>
      </c>
      <c r="C183" s="49" t="str">
        <f>VLOOKUP(B183,rep_roster!$A:$B,2,0)</f>
        <v>Jennifer Walsh</v>
      </c>
      <c r="D183" s="22">
        <v>9</v>
      </c>
      <c r="E183" s="58" t="str">
        <f>INDEX({"Jan","Feb","Mar","Apr","May","Jun","Jul","Aug","Sep","Oct","Nov","Dec"},D183)</f>
        <v>Sep</v>
      </c>
      <c r="F183" s="58" t="str">
        <f>VLOOKUP(B183,rep_roster!$A:$D,4,0)</f>
        <v>SMB</v>
      </c>
      <c r="G183" s="58" t="str">
        <f>VLOOKUP(B183,rep_roster!$A:$C,3,0)</f>
        <v>CSM</v>
      </c>
      <c r="H183" s="32">
        <v>5000</v>
      </c>
      <c r="I183" s="32">
        <v>4500</v>
      </c>
      <c r="J183" s="59">
        <f t="shared" si="16"/>
        <v>0.9</v>
      </c>
      <c r="K183" s="50">
        <f t="shared" si="17"/>
        <v>-500</v>
      </c>
    </row>
    <row r="184" spans="1:11" ht="15" customHeight="1" x14ac:dyDescent="0.35">
      <c r="A184" s="52" t="str">
        <f t="shared" si="15"/>
        <v>R02110</v>
      </c>
      <c r="B184" s="25" t="s">
        <v>179</v>
      </c>
      <c r="C184" s="52" t="str">
        <f>VLOOKUP(B184,rep_roster!$A:$B,2,0)</f>
        <v>Jennifer Walsh</v>
      </c>
      <c r="D184" s="25">
        <v>10</v>
      </c>
      <c r="E184" s="61" t="str">
        <f>INDEX({"Jan","Feb","Mar","Apr","May","Jun","Jul","Aug","Sep","Oct","Nov","Dec"},D184)</f>
        <v>Oct</v>
      </c>
      <c r="F184" s="61" t="str">
        <f>VLOOKUP(B184,rep_roster!$A:$D,4,0)</f>
        <v>SMB</v>
      </c>
      <c r="G184" s="61" t="str">
        <f>VLOOKUP(B184,rep_roster!$A:$C,3,0)</f>
        <v>CSM</v>
      </c>
      <c r="H184" s="38">
        <v>5000</v>
      </c>
      <c r="I184" s="38">
        <v>3500</v>
      </c>
      <c r="J184" s="62">
        <f t="shared" si="16"/>
        <v>0.7</v>
      </c>
      <c r="K184" s="53">
        <f t="shared" si="17"/>
        <v>-1500</v>
      </c>
    </row>
    <row r="185" spans="1:11" ht="15" customHeight="1" x14ac:dyDescent="0.35">
      <c r="A185" s="49" t="str">
        <f t="shared" si="15"/>
        <v>R02111</v>
      </c>
      <c r="B185" s="22" t="s">
        <v>179</v>
      </c>
      <c r="C185" s="49" t="str">
        <f>VLOOKUP(B185,rep_roster!$A:$B,2,0)</f>
        <v>Jennifer Walsh</v>
      </c>
      <c r="D185" s="22">
        <v>11</v>
      </c>
      <c r="E185" s="58" t="str">
        <f>INDEX({"Jan","Feb","Mar","Apr","May","Jun","Jul","Aug","Sep","Oct","Nov","Dec"},D185)</f>
        <v>Nov</v>
      </c>
      <c r="F185" s="58" t="str">
        <f>VLOOKUP(B185,rep_roster!$A:$D,4,0)</f>
        <v>SMB</v>
      </c>
      <c r="G185" s="58" t="str">
        <f>VLOOKUP(B185,rep_roster!$A:$C,3,0)</f>
        <v>CSM</v>
      </c>
      <c r="H185" s="32">
        <v>5000</v>
      </c>
      <c r="I185" s="32">
        <v>4000</v>
      </c>
      <c r="J185" s="59">
        <f t="shared" si="16"/>
        <v>0.8</v>
      </c>
      <c r="K185" s="50">
        <f t="shared" si="17"/>
        <v>-1000</v>
      </c>
    </row>
    <row r="186" spans="1:11" ht="15" customHeight="1" x14ac:dyDescent="0.35">
      <c r="A186" s="52" t="str">
        <f t="shared" si="15"/>
        <v>R02112</v>
      </c>
      <c r="B186" s="25" t="s">
        <v>179</v>
      </c>
      <c r="C186" s="52" t="str">
        <f>VLOOKUP(B186,rep_roster!$A:$B,2,0)</f>
        <v>Jennifer Walsh</v>
      </c>
      <c r="D186" s="25">
        <v>12</v>
      </c>
      <c r="E186" s="61" t="str">
        <f>INDEX({"Jan","Feb","Mar","Apr","May","Jun","Jul","Aug","Sep","Oct","Nov","Dec"},D186)</f>
        <v>Dec</v>
      </c>
      <c r="F186" s="61" t="str">
        <f>VLOOKUP(B186,rep_roster!$A:$D,4,0)</f>
        <v>SMB</v>
      </c>
      <c r="G186" s="61" t="str">
        <f>VLOOKUP(B186,rep_roster!$A:$C,3,0)</f>
        <v>CSM</v>
      </c>
      <c r="H186" s="38">
        <v>5000</v>
      </c>
      <c r="I186" s="38">
        <v>5000</v>
      </c>
      <c r="J186" s="62">
        <f t="shared" si="16"/>
        <v>1</v>
      </c>
      <c r="K186" s="53">
        <f t="shared" si="17"/>
        <v>0</v>
      </c>
    </row>
  </sheetData>
  <mergeCells count="2">
    <mergeCell ref="A1:K1"/>
    <mergeCell ref="A2:K2"/>
  </mergeCells>
  <conditionalFormatting sqref="J5:J186">
    <cfRule type="colorScale" priority="2">
      <colorScale>
        <cfvo type="num" val="0"/>
        <cfvo type="num" val="1"/>
        <cfvo type="num" val="1.5"/>
        <color rgb="FFFADBD8"/>
        <color rgb="FFFFFFFF"/>
        <color rgb="FFD5F5E3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44AD"/>
  </sheetPr>
  <dimension ref="A1:M66"/>
  <sheetViews>
    <sheetView showGridLines="0" zoomScaleNormal="100" workbookViewId="0">
      <pane ySplit="4" topLeftCell="A5" activePane="bottomLeft" state="frozen"/>
      <selection pane="bottomLeft" sqref="A1:M1"/>
    </sheetView>
  </sheetViews>
  <sheetFormatPr defaultColWidth="8.6328125" defaultRowHeight="14.5" x14ac:dyDescent="0.35"/>
  <cols>
    <col min="1" max="1" width="16" customWidth="1"/>
    <col min="2" max="2" width="10" customWidth="1"/>
    <col min="3" max="3" width="22" customWidth="1"/>
    <col min="4" max="4" width="14" customWidth="1"/>
    <col min="5" max="5" width="10" customWidth="1"/>
    <col min="6" max="6" width="8" customWidth="1"/>
    <col min="7" max="7" width="16" customWidth="1"/>
    <col min="8" max="8" width="14" customWidth="1"/>
    <col min="9" max="9" width="12" customWidth="1"/>
    <col min="10" max="10" width="14" customWidth="1"/>
    <col min="11" max="12" width="12" customWidth="1"/>
    <col min="13" max="13" width="20" customWidth="1"/>
  </cols>
  <sheetData>
    <row r="1" spans="1:13" ht="30" customHeight="1" x14ac:dyDescent="0.3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9.5" customHeight="1" x14ac:dyDescent="0.35">
      <c r="A2" s="13" t="s">
        <v>194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6" customHeight="1" x14ac:dyDescent="0.35"/>
    <row r="4" spans="1:13" ht="15" customHeight="1" x14ac:dyDescent="0.35">
      <c r="A4" s="19" t="s">
        <v>185</v>
      </c>
      <c r="B4" s="19" t="s">
        <v>117</v>
      </c>
      <c r="C4" s="19" t="s">
        <v>186</v>
      </c>
      <c r="D4" s="19" t="s">
        <v>21</v>
      </c>
      <c r="E4" s="19" t="s">
        <v>187</v>
      </c>
      <c r="F4" s="19" t="s">
        <v>188</v>
      </c>
      <c r="G4" s="19" t="s">
        <v>195</v>
      </c>
      <c r="H4" s="19" t="s">
        <v>196</v>
      </c>
      <c r="I4" s="19" t="s">
        <v>197</v>
      </c>
      <c r="J4" s="19" t="s">
        <v>198</v>
      </c>
      <c r="K4" s="19" t="s">
        <v>199</v>
      </c>
      <c r="L4" s="19" t="s">
        <v>200</v>
      </c>
      <c r="M4" s="19" t="s">
        <v>201</v>
      </c>
    </row>
    <row r="5" spans="1:13" ht="15" customHeight="1" x14ac:dyDescent="0.35">
      <c r="A5" s="49" t="str">
        <f t="shared" ref="A5:A36" si="0">B5&amp;TEXT(E5,"00")</f>
        <v>R00201</v>
      </c>
      <c r="B5" s="22" t="s">
        <v>130</v>
      </c>
      <c r="C5" s="49" t="str">
        <f>VLOOKUP(B5,rep_roster!$A:$B,2,0)</f>
        <v>Marcus Williams</v>
      </c>
      <c r="D5" s="58" t="str">
        <f>VLOOKUP(B5,rep_roster!$A:$D,4,0)</f>
        <v>Enterprise</v>
      </c>
      <c r="E5" s="22">
        <v>1</v>
      </c>
      <c r="F5" s="58" t="str">
        <f>INDEX({"Jan","Feb","Mar","Apr","May","Jun","Jul","Aug","Sep","Oct","Nov","Dec"},E5)</f>
        <v>Jan</v>
      </c>
      <c r="G5" s="22">
        <v>11</v>
      </c>
      <c r="H5" s="22">
        <v>9</v>
      </c>
      <c r="I5" s="59">
        <f t="shared" ref="I5:I36" si="1">IF(G5&gt;0,H5/G5,0)</f>
        <v>0.81818181818181823</v>
      </c>
      <c r="J5" s="22">
        <v>8</v>
      </c>
      <c r="K5" s="22">
        <v>6</v>
      </c>
      <c r="L5" s="59">
        <f t="shared" ref="L5:L36" si="2">IF(K5&gt;0,H5/K5,0)</f>
        <v>1.5</v>
      </c>
      <c r="M5" s="58" t="str">
        <f t="shared" ref="M5:M16" si="3">IF(H5=0,"Inactive",IF(I5&gt;=0.75+0.05,"Strong",IF(I5&gt;=0.75,"Met Min","Below Min")))</f>
        <v>Strong</v>
      </c>
    </row>
    <row r="6" spans="1:13" ht="15" customHeight="1" x14ac:dyDescent="0.35">
      <c r="A6" s="52" t="str">
        <f t="shared" si="0"/>
        <v>R00202</v>
      </c>
      <c r="B6" s="25" t="s">
        <v>130</v>
      </c>
      <c r="C6" s="52" t="str">
        <f>VLOOKUP(B6,rep_roster!$A:$B,2,0)</f>
        <v>Marcus Williams</v>
      </c>
      <c r="D6" s="61" t="str">
        <f>VLOOKUP(B6,rep_roster!$A:$D,4,0)</f>
        <v>Enterprise</v>
      </c>
      <c r="E6" s="25">
        <v>2</v>
      </c>
      <c r="F6" s="61" t="str">
        <f>INDEX({"Jan","Feb","Mar","Apr","May","Jun","Jul","Aug","Sep","Oct","Nov","Dec"},E6)</f>
        <v>Feb</v>
      </c>
      <c r="G6" s="25">
        <v>10</v>
      </c>
      <c r="H6" s="25">
        <v>8</v>
      </c>
      <c r="I6" s="62">
        <f t="shared" si="1"/>
        <v>0.8</v>
      </c>
      <c r="J6" s="25">
        <v>8</v>
      </c>
      <c r="K6" s="25">
        <v>6</v>
      </c>
      <c r="L6" s="62">
        <f t="shared" si="2"/>
        <v>1.3333333333333333</v>
      </c>
      <c r="M6" s="61" t="str">
        <f t="shared" si="3"/>
        <v>Strong</v>
      </c>
    </row>
    <row r="7" spans="1:13" ht="15" customHeight="1" x14ac:dyDescent="0.35">
      <c r="A7" s="49" t="str">
        <f t="shared" si="0"/>
        <v>R00203</v>
      </c>
      <c r="B7" s="22" t="s">
        <v>130</v>
      </c>
      <c r="C7" s="49" t="str">
        <f>VLOOKUP(B7,rep_roster!$A:$B,2,0)</f>
        <v>Marcus Williams</v>
      </c>
      <c r="D7" s="58" t="str">
        <f>VLOOKUP(B7,rep_roster!$A:$D,4,0)</f>
        <v>Enterprise</v>
      </c>
      <c r="E7" s="22">
        <v>3</v>
      </c>
      <c r="F7" s="58" t="str">
        <f>INDEX({"Jan","Feb","Mar","Apr","May","Jun","Jul","Aug","Sep","Oct","Nov","Dec"},E7)</f>
        <v>Mar</v>
      </c>
      <c r="G7" s="22">
        <v>12</v>
      </c>
      <c r="H7" s="22">
        <v>9</v>
      </c>
      <c r="I7" s="59">
        <f t="shared" si="1"/>
        <v>0.75</v>
      </c>
      <c r="J7" s="22">
        <v>8</v>
      </c>
      <c r="K7" s="22">
        <v>6</v>
      </c>
      <c r="L7" s="59">
        <f t="shared" si="2"/>
        <v>1.5</v>
      </c>
      <c r="M7" s="58" t="str">
        <f t="shared" si="3"/>
        <v>Met Min</v>
      </c>
    </row>
    <row r="8" spans="1:13" ht="15" customHeight="1" x14ac:dyDescent="0.35">
      <c r="A8" s="52" t="str">
        <f t="shared" si="0"/>
        <v>R00204</v>
      </c>
      <c r="B8" s="25" t="s">
        <v>130</v>
      </c>
      <c r="C8" s="52" t="str">
        <f>VLOOKUP(B8,rep_roster!$A:$B,2,0)</f>
        <v>Marcus Williams</v>
      </c>
      <c r="D8" s="61" t="str">
        <f>VLOOKUP(B8,rep_roster!$A:$D,4,0)</f>
        <v>Enterprise</v>
      </c>
      <c r="E8" s="25">
        <v>4</v>
      </c>
      <c r="F8" s="61" t="str">
        <f>INDEX({"Jan","Feb","Mar","Apr","May","Jun","Jul","Aug","Sep","Oct","Nov","Dec"},E8)</f>
        <v>Apr</v>
      </c>
      <c r="G8" s="25">
        <v>9</v>
      </c>
      <c r="H8" s="25">
        <v>7</v>
      </c>
      <c r="I8" s="62">
        <f t="shared" si="1"/>
        <v>0.77777777777777779</v>
      </c>
      <c r="J8" s="25">
        <v>8</v>
      </c>
      <c r="K8" s="25">
        <v>6</v>
      </c>
      <c r="L8" s="62">
        <f t="shared" si="2"/>
        <v>1.1666666666666667</v>
      </c>
      <c r="M8" s="61" t="str">
        <f t="shared" si="3"/>
        <v>Met Min</v>
      </c>
    </row>
    <row r="9" spans="1:13" ht="15" customHeight="1" x14ac:dyDescent="0.35">
      <c r="A9" s="49" t="str">
        <f t="shared" si="0"/>
        <v>R00205</v>
      </c>
      <c r="B9" s="22" t="s">
        <v>130</v>
      </c>
      <c r="C9" s="49" t="str">
        <f>VLOOKUP(B9,rep_roster!$A:$B,2,0)</f>
        <v>Marcus Williams</v>
      </c>
      <c r="D9" s="58" t="str">
        <f>VLOOKUP(B9,rep_roster!$A:$D,4,0)</f>
        <v>Enterprise</v>
      </c>
      <c r="E9" s="22">
        <v>5</v>
      </c>
      <c r="F9" s="58" t="str">
        <f>INDEX({"Jan","Feb","Mar","Apr","May","Jun","Jul","Aug","Sep","Oct","Nov","Dec"},E9)</f>
        <v>May</v>
      </c>
      <c r="G9" s="22">
        <v>10</v>
      </c>
      <c r="H9" s="22">
        <v>8</v>
      </c>
      <c r="I9" s="59">
        <f t="shared" si="1"/>
        <v>0.8</v>
      </c>
      <c r="J9" s="22">
        <v>8</v>
      </c>
      <c r="K9" s="22">
        <v>6</v>
      </c>
      <c r="L9" s="59">
        <f t="shared" si="2"/>
        <v>1.3333333333333333</v>
      </c>
      <c r="M9" s="58" t="str">
        <f t="shared" si="3"/>
        <v>Strong</v>
      </c>
    </row>
    <row r="10" spans="1:13" ht="15" customHeight="1" x14ac:dyDescent="0.35">
      <c r="A10" s="52" t="str">
        <f t="shared" si="0"/>
        <v>R00206</v>
      </c>
      <c r="B10" s="25" t="s">
        <v>130</v>
      </c>
      <c r="C10" s="52" t="str">
        <f>VLOOKUP(B10,rep_roster!$A:$B,2,0)</f>
        <v>Marcus Williams</v>
      </c>
      <c r="D10" s="61" t="str">
        <f>VLOOKUP(B10,rep_roster!$A:$D,4,0)</f>
        <v>Enterprise</v>
      </c>
      <c r="E10" s="25">
        <v>6</v>
      </c>
      <c r="F10" s="61" t="str">
        <f>INDEX({"Jan","Feb","Mar","Apr","May","Jun","Jul","Aug","Sep","Oct","Nov","Dec"},E10)</f>
        <v>Jun</v>
      </c>
      <c r="G10" s="25">
        <v>9</v>
      </c>
      <c r="H10" s="25">
        <v>7</v>
      </c>
      <c r="I10" s="62">
        <f t="shared" si="1"/>
        <v>0.77777777777777779</v>
      </c>
      <c r="J10" s="25">
        <v>8</v>
      </c>
      <c r="K10" s="25">
        <v>6</v>
      </c>
      <c r="L10" s="62">
        <f t="shared" si="2"/>
        <v>1.1666666666666667</v>
      </c>
      <c r="M10" s="61" t="str">
        <f t="shared" si="3"/>
        <v>Met Min</v>
      </c>
    </row>
    <row r="11" spans="1:13" ht="15" customHeight="1" x14ac:dyDescent="0.35">
      <c r="A11" s="49" t="str">
        <f t="shared" si="0"/>
        <v>R00207</v>
      </c>
      <c r="B11" s="22" t="s">
        <v>130</v>
      </c>
      <c r="C11" s="49" t="str">
        <f>VLOOKUP(B11,rep_roster!$A:$B,2,0)</f>
        <v>Marcus Williams</v>
      </c>
      <c r="D11" s="58" t="str">
        <f>VLOOKUP(B11,rep_roster!$A:$D,4,0)</f>
        <v>Enterprise</v>
      </c>
      <c r="E11" s="22">
        <v>7</v>
      </c>
      <c r="F11" s="58" t="str">
        <f>INDEX({"Jan","Feb","Mar","Apr","May","Jun","Jul","Aug","Sep","Oct","Nov","Dec"},E11)</f>
        <v>Jul</v>
      </c>
      <c r="G11" s="22">
        <v>7</v>
      </c>
      <c r="H11" s="22">
        <v>5</v>
      </c>
      <c r="I11" s="59">
        <f t="shared" si="1"/>
        <v>0.7142857142857143</v>
      </c>
      <c r="J11" s="22">
        <v>8</v>
      </c>
      <c r="K11" s="22">
        <v>6</v>
      </c>
      <c r="L11" s="59">
        <f t="shared" si="2"/>
        <v>0.83333333333333337</v>
      </c>
      <c r="M11" s="58" t="str">
        <f t="shared" si="3"/>
        <v>Below Min</v>
      </c>
    </row>
    <row r="12" spans="1:13" ht="15" customHeight="1" x14ac:dyDescent="0.35">
      <c r="A12" s="52" t="str">
        <f t="shared" si="0"/>
        <v>R00208</v>
      </c>
      <c r="B12" s="25" t="s">
        <v>130</v>
      </c>
      <c r="C12" s="52" t="str">
        <f>VLOOKUP(B12,rep_roster!$A:$B,2,0)</f>
        <v>Marcus Williams</v>
      </c>
      <c r="D12" s="61" t="str">
        <f>VLOOKUP(B12,rep_roster!$A:$D,4,0)</f>
        <v>Enterprise</v>
      </c>
      <c r="E12" s="25">
        <v>8</v>
      </c>
      <c r="F12" s="61" t="str">
        <f>INDEX({"Jan","Feb","Mar","Apr","May","Jun","Jul","Aug","Sep","Oct","Nov","Dec"},E12)</f>
        <v>Aug</v>
      </c>
      <c r="G12" s="25">
        <v>6</v>
      </c>
      <c r="H12" s="25">
        <v>4</v>
      </c>
      <c r="I12" s="62">
        <f t="shared" si="1"/>
        <v>0.66666666666666663</v>
      </c>
      <c r="J12" s="25">
        <v>8</v>
      </c>
      <c r="K12" s="25">
        <v>6</v>
      </c>
      <c r="L12" s="62">
        <f t="shared" si="2"/>
        <v>0.66666666666666663</v>
      </c>
      <c r="M12" s="61" t="str">
        <f t="shared" si="3"/>
        <v>Below Min</v>
      </c>
    </row>
    <row r="13" spans="1:13" ht="15" customHeight="1" x14ac:dyDescent="0.35">
      <c r="A13" s="49" t="str">
        <f t="shared" si="0"/>
        <v>R00209</v>
      </c>
      <c r="B13" s="22" t="s">
        <v>130</v>
      </c>
      <c r="C13" s="49" t="str">
        <f>VLOOKUP(B13,rep_roster!$A:$B,2,0)</f>
        <v>Marcus Williams</v>
      </c>
      <c r="D13" s="58" t="str">
        <f>VLOOKUP(B13,rep_roster!$A:$D,4,0)</f>
        <v>Enterprise</v>
      </c>
      <c r="E13" s="22">
        <v>9</v>
      </c>
      <c r="F13" s="58" t="str">
        <f>INDEX({"Jan","Feb","Mar","Apr","May","Jun","Jul","Aug","Sep","Oct","Nov","Dec"},E13)</f>
        <v>Sep</v>
      </c>
      <c r="G13" s="22">
        <v>8</v>
      </c>
      <c r="H13" s="22">
        <v>6</v>
      </c>
      <c r="I13" s="59">
        <f t="shared" si="1"/>
        <v>0.75</v>
      </c>
      <c r="J13" s="22">
        <v>8</v>
      </c>
      <c r="K13" s="22">
        <v>6</v>
      </c>
      <c r="L13" s="59">
        <f t="shared" si="2"/>
        <v>1</v>
      </c>
      <c r="M13" s="58" t="str">
        <f t="shared" si="3"/>
        <v>Met Min</v>
      </c>
    </row>
    <row r="14" spans="1:13" ht="15" customHeight="1" x14ac:dyDescent="0.35">
      <c r="A14" s="52" t="str">
        <f t="shared" si="0"/>
        <v>R00210</v>
      </c>
      <c r="B14" s="25" t="s">
        <v>130</v>
      </c>
      <c r="C14" s="52" t="str">
        <f>VLOOKUP(B14,rep_roster!$A:$B,2,0)</f>
        <v>Marcus Williams</v>
      </c>
      <c r="D14" s="61" t="str">
        <f>VLOOKUP(B14,rep_roster!$A:$D,4,0)</f>
        <v>Enterprise</v>
      </c>
      <c r="E14" s="25">
        <v>10</v>
      </c>
      <c r="F14" s="61" t="str">
        <f>INDEX({"Jan","Feb","Mar","Apr","May","Jun","Jul","Aug","Sep","Oct","Nov","Dec"},E14)</f>
        <v>Oct</v>
      </c>
      <c r="G14" s="25">
        <v>7</v>
      </c>
      <c r="H14" s="25">
        <v>5</v>
      </c>
      <c r="I14" s="62">
        <f t="shared" si="1"/>
        <v>0.7142857142857143</v>
      </c>
      <c r="J14" s="25">
        <v>8</v>
      </c>
      <c r="K14" s="25">
        <v>6</v>
      </c>
      <c r="L14" s="62">
        <f t="shared" si="2"/>
        <v>0.83333333333333337</v>
      </c>
      <c r="M14" s="61" t="str">
        <f t="shared" si="3"/>
        <v>Below Min</v>
      </c>
    </row>
    <row r="15" spans="1:13" ht="15" customHeight="1" x14ac:dyDescent="0.35">
      <c r="A15" s="49" t="str">
        <f t="shared" si="0"/>
        <v>R00211</v>
      </c>
      <c r="B15" s="22" t="s">
        <v>130</v>
      </c>
      <c r="C15" s="49" t="str">
        <f>VLOOKUP(B15,rep_roster!$A:$B,2,0)</f>
        <v>Marcus Williams</v>
      </c>
      <c r="D15" s="58" t="str">
        <f>VLOOKUP(B15,rep_roster!$A:$D,4,0)</f>
        <v>Enterprise</v>
      </c>
      <c r="E15" s="22">
        <v>11</v>
      </c>
      <c r="F15" s="58" t="str">
        <f>INDEX({"Jan","Feb","Mar","Apr","May","Jun","Jul","Aug","Sep","Oct","Nov","Dec"},E15)</f>
        <v>Nov</v>
      </c>
      <c r="G15" s="22">
        <v>8</v>
      </c>
      <c r="H15" s="22">
        <v>6</v>
      </c>
      <c r="I15" s="59">
        <f t="shared" si="1"/>
        <v>0.75</v>
      </c>
      <c r="J15" s="22">
        <v>8</v>
      </c>
      <c r="K15" s="22">
        <v>6</v>
      </c>
      <c r="L15" s="59">
        <f t="shared" si="2"/>
        <v>1</v>
      </c>
      <c r="M15" s="58" t="str">
        <f t="shared" si="3"/>
        <v>Met Min</v>
      </c>
    </row>
    <row r="16" spans="1:13" ht="15" customHeight="1" x14ac:dyDescent="0.35">
      <c r="A16" s="52" t="str">
        <f t="shared" si="0"/>
        <v>R00212</v>
      </c>
      <c r="B16" s="25" t="s">
        <v>130</v>
      </c>
      <c r="C16" s="52" t="str">
        <f>VLOOKUP(B16,rep_roster!$A:$B,2,0)</f>
        <v>Marcus Williams</v>
      </c>
      <c r="D16" s="61" t="str">
        <f>VLOOKUP(B16,rep_roster!$A:$D,4,0)</f>
        <v>Enterprise</v>
      </c>
      <c r="E16" s="25">
        <v>12</v>
      </c>
      <c r="F16" s="61" t="str">
        <f>INDEX({"Jan","Feb","Mar","Apr","May","Jun","Jul","Aug","Sep","Oct","Nov","Dec"},E16)</f>
        <v>Dec</v>
      </c>
      <c r="G16" s="25">
        <v>9</v>
      </c>
      <c r="H16" s="25">
        <v>7</v>
      </c>
      <c r="I16" s="62">
        <f t="shared" si="1"/>
        <v>0.77777777777777779</v>
      </c>
      <c r="J16" s="25">
        <v>8</v>
      </c>
      <c r="K16" s="25">
        <v>6</v>
      </c>
      <c r="L16" s="62">
        <f t="shared" si="2"/>
        <v>1.1666666666666667</v>
      </c>
      <c r="M16" s="61" t="str">
        <f t="shared" si="3"/>
        <v>Met Min</v>
      </c>
    </row>
    <row r="17" spans="1:13" ht="15" customHeight="1" x14ac:dyDescent="0.35">
      <c r="A17" s="49" t="str">
        <f t="shared" si="0"/>
        <v>R00801</v>
      </c>
      <c r="B17" s="22" t="s">
        <v>148</v>
      </c>
      <c r="C17" s="49" t="str">
        <f>VLOOKUP(B17,rep_roster!$A:$B,2,0)</f>
        <v>Kevin O'Brien</v>
      </c>
      <c r="D17" s="58" t="str">
        <f>VLOOKUP(B17,rep_roster!$A:$D,4,0)</f>
        <v>Mid-Market</v>
      </c>
      <c r="E17" s="22">
        <v>1</v>
      </c>
      <c r="F17" s="58" t="str">
        <f>INDEX({"Jan","Feb","Mar","Apr","May","Jun","Jul","Aug","Sep","Oct","Nov","Dec"},E17)</f>
        <v>Jan</v>
      </c>
      <c r="G17" s="22">
        <v>17</v>
      </c>
      <c r="H17" s="22">
        <v>12</v>
      </c>
      <c r="I17" s="59">
        <f t="shared" si="1"/>
        <v>0.70588235294117652</v>
      </c>
      <c r="J17" s="22">
        <v>15</v>
      </c>
      <c r="K17" s="22">
        <v>10</v>
      </c>
      <c r="L17" s="59">
        <f t="shared" si="2"/>
        <v>1.2</v>
      </c>
      <c r="M17" s="58" t="str">
        <f t="shared" ref="M17:M42" si="4">IF(H17=0,"Inactive",IF(I17&gt;=0.7+0.05,"Strong",IF(I17&gt;=0.7,"Met Min","Below Min")))</f>
        <v>Met Min</v>
      </c>
    </row>
    <row r="18" spans="1:13" ht="15" customHeight="1" x14ac:dyDescent="0.35">
      <c r="A18" s="52" t="str">
        <f t="shared" si="0"/>
        <v>R00802</v>
      </c>
      <c r="B18" s="25" t="s">
        <v>148</v>
      </c>
      <c r="C18" s="52" t="str">
        <f>VLOOKUP(B18,rep_roster!$A:$B,2,0)</f>
        <v>Kevin O'Brien</v>
      </c>
      <c r="D18" s="61" t="str">
        <f>VLOOKUP(B18,rep_roster!$A:$D,4,0)</f>
        <v>Mid-Market</v>
      </c>
      <c r="E18" s="25">
        <v>2</v>
      </c>
      <c r="F18" s="61" t="str">
        <f>INDEX({"Jan","Feb","Mar","Apr","May","Jun","Jul","Aug","Sep","Oct","Nov","Dec"},E18)</f>
        <v>Feb</v>
      </c>
      <c r="G18" s="25">
        <v>16</v>
      </c>
      <c r="H18" s="25">
        <v>11</v>
      </c>
      <c r="I18" s="62">
        <f t="shared" si="1"/>
        <v>0.6875</v>
      </c>
      <c r="J18" s="25">
        <v>15</v>
      </c>
      <c r="K18" s="25">
        <v>10</v>
      </c>
      <c r="L18" s="62">
        <f t="shared" si="2"/>
        <v>1.1000000000000001</v>
      </c>
      <c r="M18" s="61" t="str">
        <f t="shared" si="4"/>
        <v>Below Min</v>
      </c>
    </row>
    <row r="19" spans="1:13" ht="15" customHeight="1" x14ac:dyDescent="0.35">
      <c r="A19" s="49" t="str">
        <f t="shared" si="0"/>
        <v>R00803</v>
      </c>
      <c r="B19" s="22" t="s">
        <v>148</v>
      </c>
      <c r="C19" s="49" t="str">
        <f>VLOOKUP(B19,rep_roster!$A:$B,2,0)</f>
        <v>Kevin O'Brien</v>
      </c>
      <c r="D19" s="58" t="str">
        <f>VLOOKUP(B19,rep_roster!$A:$D,4,0)</f>
        <v>Mid-Market</v>
      </c>
      <c r="E19" s="22">
        <v>3</v>
      </c>
      <c r="F19" s="58" t="str">
        <f>INDEX({"Jan","Feb","Mar","Apr","May","Jun","Jul","Aug","Sep","Oct","Nov","Dec"},E19)</f>
        <v>Mar</v>
      </c>
      <c r="G19" s="22">
        <v>18</v>
      </c>
      <c r="H19" s="22">
        <v>13</v>
      </c>
      <c r="I19" s="59">
        <f t="shared" si="1"/>
        <v>0.72222222222222221</v>
      </c>
      <c r="J19" s="22">
        <v>15</v>
      </c>
      <c r="K19" s="22">
        <v>10</v>
      </c>
      <c r="L19" s="59">
        <f t="shared" si="2"/>
        <v>1.3</v>
      </c>
      <c r="M19" s="58" t="str">
        <f t="shared" si="4"/>
        <v>Met Min</v>
      </c>
    </row>
    <row r="20" spans="1:13" ht="15" customHeight="1" x14ac:dyDescent="0.35">
      <c r="A20" s="52" t="str">
        <f t="shared" si="0"/>
        <v>R00804</v>
      </c>
      <c r="B20" s="25" t="s">
        <v>148</v>
      </c>
      <c r="C20" s="52" t="str">
        <f>VLOOKUP(B20,rep_roster!$A:$B,2,0)</f>
        <v>Kevin O'Brien</v>
      </c>
      <c r="D20" s="61" t="str">
        <f>VLOOKUP(B20,rep_roster!$A:$D,4,0)</f>
        <v>Mid-Market</v>
      </c>
      <c r="E20" s="25">
        <v>4</v>
      </c>
      <c r="F20" s="61" t="str">
        <f>INDEX({"Jan","Feb","Mar","Apr","May","Jun","Jul","Aug","Sep","Oct","Nov","Dec"},E20)</f>
        <v>Apr</v>
      </c>
      <c r="G20" s="25">
        <v>15</v>
      </c>
      <c r="H20" s="25">
        <v>11</v>
      </c>
      <c r="I20" s="62">
        <f t="shared" si="1"/>
        <v>0.73333333333333328</v>
      </c>
      <c r="J20" s="25">
        <v>15</v>
      </c>
      <c r="K20" s="25">
        <v>10</v>
      </c>
      <c r="L20" s="62">
        <f t="shared" si="2"/>
        <v>1.1000000000000001</v>
      </c>
      <c r="M20" s="61" t="str">
        <f t="shared" si="4"/>
        <v>Met Min</v>
      </c>
    </row>
    <row r="21" spans="1:13" ht="15" customHeight="1" x14ac:dyDescent="0.35">
      <c r="A21" s="49" t="str">
        <f t="shared" si="0"/>
        <v>R00805</v>
      </c>
      <c r="B21" s="22" t="s">
        <v>148</v>
      </c>
      <c r="C21" s="49" t="str">
        <f>VLOOKUP(B21,rep_roster!$A:$B,2,0)</f>
        <v>Kevin O'Brien</v>
      </c>
      <c r="D21" s="58" t="str">
        <f>VLOOKUP(B21,rep_roster!$A:$D,4,0)</f>
        <v>Mid-Market</v>
      </c>
      <c r="E21" s="22">
        <v>5</v>
      </c>
      <c r="F21" s="58" t="str">
        <f>INDEX({"Jan","Feb","Mar","Apr","May","Jun","Jul","Aug","Sep","Oct","Nov","Dec"},E21)</f>
        <v>May</v>
      </c>
      <c r="G21" s="22">
        <v>16</v>
      </c>
      <c r="H21" s="22">
        <v>11</v>
      </c>
      <c r="I21" s="59">
        <f t="shared" si="1"/>
        <v>0.6875</v>
      </c>
      <c r="J21" s="22">
        <v>15</v>
      </c>
      <c r="K21" s="22">
        <v>10</v>
      </c>
      <c r="L21" s="59">
        <f t="shared" si="2"/>
        <v>1.1000000000000001</v>
      </c>
      <c r="M21" s="58" t="str">
        <f t="shared" si="4"/>
        <v>Below Min</v>
      </c>
    </row>
    <row r="22" spans="1:13" ht="15" customHeight="1" x14ac:dyDescent="0.35">
      <c r="A22" s="52" t="str">
        <f t="shared" si="0"/>
        <v>R00806</v>
      </c>
      <c r="B22" s="25" t="s">
        <v>148</v>
      </c>
      <c r="C22" s="52" t="str">
        <f>VLOOKUP(B22,rep_roster!$A:$B,2,0)</f>
        <v>Kevin O'Brien</v>
      </c>
      <c r="D22" s="61" t="str">
        <f>VLOOKUP(B22,rep_roster!$A:$D,4,0)</f>
        <v>Mid-Market</v>
      </c>
      <c r="E22" s="25">
        <v>6</v>
      </c>
      <c r="F22" s="61" t="str">
        <f>INDEX({"Jan","Feb","Mar","Apr","May","Jun","Jul","Aug","Sep","Oct","Nov","Dec"},E22)</f>
        <v>Jun</v>
      </c>
      <c r="G22" s="25">
        <v>14</v>
      </c>
      <c r="H22" s="25">
        <v>10</v>
      </c>
      <c r="I22" s="62">
        <f t="shared" si="1"/>
        <v>0.7142857142857143</v>
      </c>
      <c r="J22" s="25">
        <v>15</v>
      </c>
      <c r="K22" s="25">
        <v>10</v>
      </c>
      <c r="L22" s="62">
        <f t="shared" si="2"/>
        <v>1</v>
      </c>
      <c r="M22" s="61" t="str">
        <f t="shared" si="4"/>
        <v>Met Min</v>
      </c>
    </row>
    <row r="23" spans="1:13" ht="15" customHeight="1" x14ac:dyDescent="0.35">
      <c r="A23" s="49" t="str">
        <f t="shared" si="0"/>
        <v>R00807</v>
      </c>
      <c r="B23" s="22" t="s">
        <v>148</v>
      </c>
      <c r="C23" s="49" t="str">
        <f>VLOOKUP(B23,rep_roster!$A:$B,2,0)</f>
        <v>Kevin O'Brien</v>
      </c>
      <c r="D23" s="58" t="str">
        <f>VLOOKUP(B23,rep_roster!$A:$D,4,0)</f>
        <v>Mid-Market</v>
      </c>
      <c r="E23" s="22">
        <v>7</v>
      </c>
      <c r="F23" s="58" t="str">
        <f>INDEX({"Jan","Feb","Mar","Apr","May","Jun","Jul","Aug","Sep","Oct","Nov","Dec"},E23)</f>
        <v>Jul</v>
      </c>
      <c r="G23" s="22">
        <v>12</v>
      </c>
      <c r="H23" s="22">
        <v>8</v>
      </c>
      <c r="I23" s="59">
        <f t="shared" si="1"/>
        <v>0.66666666666666663</v>
      </c>
      <c r="J23" s="22">
        <v>15</v>
      </c>
      <c r="K23" s="22">
        <v>10</v>
      </c>
      <c r="L23" s="59">
        <f t="shared" si="2"/>
        <v>0.8</v>
      </c>
      <c r="M23" s="58" t="str">
        <f t="shared" si="4"/>
        <v>Below Min</v>
      </c>
    </row>
    <row r="24" spans="1:13" ht="15" customHeight="1" x14ac:dyDescent="0.35">
      <c r="A24" s="52" t="str">
        <f t="shared" si="0"/>
        <v>R00808</v>
      </c>
      <c r="B24" s="25" t="s">
        <v>148</v>
      </c>
      <c r="C24" s="52" t="str">
        <f>VLOOKUP(B24,rep_roster!$A:$B,2,0)</f>
        <v>Kevin O'Brien</v>
      </c>
      <c r="D24" s="61" t="str">
        <f>VLOOKUP(B24,rep_roster!$A:$D,4,0)</f>
        <v>Mid-Market</v>
      </c>
      <c r="E24" s="25">
        <v>8</v>
      </c>
      <c r="F24" s="61" t="str">
        <f>INDEX({"Jan","Feb","Mar","Apr","May","Jun","Jul","Aug","Sep","Oct","Nov","Dec"},E24)</f>
        <v>Aug</v>
      </c>
      <c r="G24" s="25">
        <v>8</v>
      </c>
      <c r="H24" s="25">
        <v>5</v>
      </c>
      <c r="I24" s="62">
        <f t="shared" si="1"/>
        <v>0.625</v>
      </c>
      <c r="J24" s="25">
        <v>15</v>
      </c>
      <c r="K24" s="25">
        <v>10</v>
      </c>
      <c r="L24" s="62">
        <f t="shared" si="2"/>
        <v>0.5</v>
      </c>
      <c r="M24" s="61" t="str">
        <f t="shared" si="4"/>
        <v>Below Min</v>
      </c>
    </row>
    <row r="25" spans="1:13" ht="15" customHeight="1" x14ac:dyDescent="0.35">
      <c r="A25" s="49" t="str">
        <f t="shared" si="0"/>
        <v>R00901</v>
      </c>
      <c r="B25" s="22" t="s">
        <v>150</v>
      </c>
      <c r="C25" s="49" t="str">
        <f>VLOOKUP(B25,rep_roster!$A:$B,2,0)</f>
        <v>Aisha Johnson</v>
      </c>
      <c r="D25" s="58" t="str">
        <f>VLOOKUP(B25,rep_roster!$A:$D,4,0)</f>
        <v>Mid-Market</v>
      </c>
      <c r="E25" s="22">
        <v>1</v>
      </c>
      <c r="F25" s="58" t="str">
        <f>INDEX({"Jan","Feb","Mar","Apr","May","Jun","Jul","Aug","Sep","Oct","Nov","Dec"},E25)</f>
        <v>Jan</v>
      </c>
      <c r="G25" s="22">
        <v>17</v>
      </c>
      <c r="H25" s="22">
        <v>12</v>
      </c>
      <c r="I25" s="59">
        <f t="shared" si="1"/>
        <v>0.70588235294117652</v>
      </c>
      <c r="J25" s="22">
        <v>15</v>
      </c>
      <c r="K25" s="22">
        <v>10</v>
      </c>
      <c r="L25" s="59">
        <f t="shared" si="2"/>
        <v>1.2</v>
      </c>
      <c r="M25" s="58" t="str">
        <f t="shared" si="4"/>
        <v>Met Min</v>
      </c>
    </row>
    <row r="26" spans="1:13" ht="15" customHeight="1" x14ac:dyDescent="0.35">
      <c r="A26" s="52" t="str">
        <f t="shared" si="0"/>
        <v>R00902</v>
      </c>
      <c r="B26" s="25" t="s">
        <v>150</v>
      </c>
      <c r="C26" s="52" t="str">
        <f>VLOOKUP(B26,rep_roster!$A:$B,2,0)</f>
        <v>Aisha Johnson</v>
      </c>
      <c r="D26" s="61" t="str">
        <f>VLOOKUP(B26,rep_roster!$A:$D,4,0)</f>
        <v>Mid-Market</v>
      </c>
      <c r="E26" s="25">
        <v>2</v>
      </c>
      <c r="F26" s="61" t="str">
        <f>INDEX({"Jan","Feb","Mar","Apr","May","Jun","Jul","Aug","Sep","Oct","Nov","Dec"},E26)</f>
        <v>Feb</v>
      </c>
      <c r="G26" s="25">
        <v>17</v>
      </c>
      <c r="H26" s="25">
        <v>12</v>
      </c>
      <c r="I26" s="62">
        <f t="shared" si="1"/>
        <v>0.70588235294117652</v>
      </c>
      <c r="J26" s="25">
        <v>15</v>
      </c>
      <c r="K26" s="25">
        <v>10</v>
      </c>
      <c r="L26" s="62">
        <f t="shared" si="2"/>
        <v>1.2</v>
      </c>
      <c r="M26" s="61" t="str">
        <f t="shared" si="4"/>
        <v>Met Min</v>
      </c>
    </row>
    <row r="27" spans="1:13" ht="15" customHeight="1" x14ac:dyDescent="0.35">
      <c r="A27" s="49" t="str">
        <f t="shared" si="0"/>
        <v>R00903</v>
      </c>
      <c r="B27" s="22" t="s">
        <v>150</v>
      </c>
      <c r="C27" s="49" t="str">
        <f>VLOOKUP(B27,rep_roster!$A:$B,2,0)</f>
        <v>Aisha Johnson</v>
      </c>
      <c r="D27" s="58" t="str">
        <f>VLOOKUP(B27,rep_roster!$A:$D,4,0)</f>
        <v>Mid-Market</v>
      </c>
      <c r="E27" s="22">
        <v>3</v>
      </c>
      <c r="F27" s="58" t="str">
        <f>INDEX({"Jan","Feb","Mar","Apr","May","Jun","Jul","Aug","Sep","Oct","Nov","Dec"},E27)</f>
        <v>Mar</v>
      </c>
      <c r="G27" s="22">
        <v>19</v>
      </c>
      <c r="H27" s="22">
        <v>14</v>
      </c>
      <c r="I27" s="59">
        <f t="shared" si="1"/>
        <v>0.73684210526315785</v>
      </c>
      <c r="J27" s="22">
        <v>15</v>
      </c>
      <c r="K27" s="22">
        <v>10</v>
      </c>
      <c r="L27" s="59">
        <f t="shared" si="2"/>
        <v>1.4</v>
      </c>
      <c r="M27" s="58" t="str">
        <f t="shared" si="4"/>
        <v>Met Min</v>
      </c>
    </row>
    <row r="28" spans="1:13" ht="15" customHeight="1" x14ac:dyDescent="0.35">
      <c r="A28" s="52" t="str">
        <f t="shared" si="0"/>
        <v>R00904</v>
      </c>
      <c r="B28" s="25" t="s">
        <v>150</v>
      </c>
      <c r="C28" s="52" t="str">
        <f>VLOOKUP(B28,rep_roster!$A:$B,2,0)</f>
        <v>Aisha Johnson</v>
      </c>
      <c r="D28" s="61" t="str">
        <f>VLOOKUP(B28,rep_roster!$A:$D,4,0)</f>
        <v>Mid-Market</v>
      </c>
      <c r="E28" s="25">
        <v>4</v>
      </c>
      <c r="F28" s="61" t="str">
        <f>INDEX({"Jan","Feb","Mar","Apr","May","Jun","Jul","Aug","Sep","Oct","Nov","Dec"},E28)</f>
        <v>Apr</v>
      </c>
      <c r="G28" s="25">
        <v>16</v>
      </c>
      <c r="H28" s="25">
        <v>11</v>
      </c>
      <c r="I28" s="62">
        <f t="shared" si="1"/>
        <v>0.6875</v>
      </c>
      <c r="J28" s="25">
        <v>15</v>
      </c>
      <c r="K28" s="25">
        <v>10</v>
      </c>
      <c r="L28" s="62">
        <f t="shared" si="2"/>
        <v>1.1000000000000001</v>
      </c>
      <c r="M28" s="61" t="str">
        <f t="shared" si="4"/>
        <v>Below Min</v>
      </c>
    </row>
    <row r="29" spans="1:13" ht="15" customHeight="1" x14ac:dyDescent="0.35">
      <c r="A29" s="49" t="str">
        <f t="shared" si="0"/>
        <v>R00905</v>
      </c>
      <c r="B29" s="22" t="s">
        <v>150</v>
      </c>
      <c r="C29" s="49" t="str">
        <f>VLOOKUP(B29,rep_roster!$A:$B,2,0)</f>
        <v>Aisha Johnson</v>
      </c>
      <c r="D29" s="58" t="str">
        <f>VLOOKUP(B29,rep_roster!$A:$D,4,0)</f>
        <v>Mid-Market</v>
      </c>
      <c r="E29" s="22">
        <v>5</v>
      </c>
      <c r="F29" s="58" t="str">
        <f>INDEX({"Jan","Feb","Mar","Apr","May","Jun","Jul","Aug","Sep","Oct","Nov","Dec"},E29)</f>
        <v>May</v>
      </c>
      <c r="G29" s="22">
        <v>17</v>
      </c>
      <c r="H29" s="22">
        <v>12</v>
      </c>
      <c r="I29" s="59">
        <f t="shared" si="1"/>
        <v>0.70588235294117652</v>
      </c>
      <c r="J29" s="22">
        <v>15</v>
      </c>
      <c r="K29" s="22">
        <v>10</v>
      </c>
      <c r="L29" s="59">
        <f t="shared" si="2"/>
        <v>1.2</v>
      </c>
      <c r="M29" s="58" t="str">
        <f t="shared" si="4"/>
        <v>Met Min</v>
      </c>
    </row>
    <row r="30" spans="1:13" ht="15" customHeight="1" x14ac:dyDescent="0.35">
      <c r="A30" s="52" t="str">
        <f t="shared" si="0"/>
        <v>R00906</v>
      </c>
      <c r="B30" s="25" t="s">
        <v>150</v>
      </c>
      <c r="C30" s="52" t="str">
        <f>VLOOKUP(B30,rep_roster!$A:$B,2,0)</f>
        <v>Aisha Johnson</v>
      </c>
      <c r="D30" s="61" t="str">
        <f>VLOOKUP(B30,rep_roster!$A:$D,4,0)</f>
        <v>Mid-Market</v>
      </c>
      <c r="E30" s="25">
        <v>6</v>
      </c>
      <c r="F30" s="61" t="str">
        <f>INDEX({"Jan","Feb","Mar","Apr","May","Jun","Jul","Aug","Sep","Oct","Nov","Dec"},E30)</f>
        <v>Jun</v>
      </c>
      <c r="G30" s="25">
        <v>16</v>
      </c>
      <c r="H30" s="25">
        <v>11</v>
      </c>
      <c r="I30" s="62">
        <f t="shared" si="1"/>
        <v>0.6875</v>
      </c>
      <c r="J30" s="25">
        <v>15</v>
      </c>
      <c r="K30" s="25">
        <v>10</v>
      </c>
      <c r="L30" s="62">
        <f t="shared" si="2"/>
        <v>1.1000000000000001</v>
      </c>
      <c r="M30" s="61" t="str">
        <f t="shared" si="4"/>
        <v>Below Min</v>
      </c>
    </row>
    <row r="31" spans="1:13" ht="15" customHeight="1" x14ac:dyDescent="0.35">
      <c r="A31" s="49" t="str">
        <f t="shared" si="0"/>
        <v>R00907</v>
      </c>
      <c r="B31" s="22" t="s">
        <v>150</v>
      </c>
      <c r="C31" s="49" t="str">
        <f>VLOOKUP(B31,rep_roster!$A:$B,2,0)</f>
        <v>Aisha Johnson</v>
      </c>
      <c r="D31" s="58" t="str">
        <f>VLOOKUP(B31,rep_roster!$A:$D,4,0)</f>
        <v>Mid-Market</v>
      </c>
      <c r="E31" s="22">
        <v>7</v>
      </c>
      <c r="F31" s="58" t="str">
        <f>INDEX({"Jan","Feb","Mar","Apr","May","Jun","Jul","Aug","Sep","Oct","Nov","Dec"},E31)</f>
        <v>Jul</v>
      </c>
      <c r="G31" s="22">
        <v>13</v>
      </c>
      <c r="H31" s="22">
        <v>9</v>
      </c>
      <c r="I31" s="59">
        <f t="shared" si="1"/>
        <v>0.69230769230769229</v>
      </c>
      <c r="J31" s="22">
        <v>15</v>
      </c>
      <c r="K31" s="22">
        <v>10</v>
      </c>
      <c r="L31" s="59">
        <f t="shared" si="2"/>
        <v>0.9</v>
      </c>
      <c r="M31" s="58" t="str">
        <f t="shared" si="4"/>
        <v>Below Min</v>
      </c>
    </row>
    <row r="32" spans="1:13" ht="15" customHeight="1" x14ac:dyDescent="0.35">
      <c r="A32" s="52" t="str">
        <f t="shared" si="0"/>
        <v>R00908</v>
      </c>
      <c r="B32" s="25" t="s">
        <v>150</v>
      </c>
      <c r="C32" s="52" t="str">
        <f>VLOOKUP(B32,rep_roster!$A:$B,2,0)</f>
        <v>Aisha Johnson</v>
      </c>
      <c r="D32" s="61" t="str">
        <f>VLOOKUP(B32,rep_roster!$A:$D,4,0)</f>
        <v>Mid-Market</v>
      </c>
      <c r="E32" s="25">
        <v>8</v>
      </c>
      <c r="F32" s="61" t="str">
        <f>INDEX({"Jan","Feb","Mar","Apr","May","Jun","Jul","Aug","Sep","Oct","Nov","Dec"},E32)</f>
        <v>Aug</v>
      </c>
      <c r="G32" s="25">
        <v>11</v>
      </c>
      <c r="H32" s="25">
        <v>8</v>
      </c>
      <c r="I32" s="62">
        <f t="shared" si="1"/>
        <v>0.72727272727272729</v>
      </c>
      <c r="J32" s="25">
        <v>15</v>
      </c>
      <c r="K32" s="25">
        <v>10</v>
      </c>
      <c r="L32" s="62">
        <f t="shared" si="2"/>
        <v>0.8</v>
      </c>
      <c r="M32" s="61" t="str">
        <f t="shared" si="4"/>
        <v>Met Min</v>
      </c>
    </row>
    <row r="33" spans="1:13" ht="15" customHeight="1" x14ac:dyDescent="0.35">
      <c r="A33" s="49" t="str">
        <f t="shared" si="0"/>
        <v>R00909</v>
      </c>
      <c r="B33" s="22" t="s">
        <v>150</v>
      </c>
      <c r="C33" s="49" t="str">
        <f>VLOOKUP(B33,rep_roster!$A:$B,2,0)</f>
        <v>Aisha Johnson</v>
      </c>
      <c r="D33" s="58" t="str">
        <f>VLOOKUP(B33,rep_roster!$A:$D,4,0)</f>
        <v>Mid-Market</v>
      </c>
      <c r="E33" s="22">
        <v>9</v>
      </c>
      <c r="F33" s="58" t="str">
        <f>INDEX({"Jan","Feb","Mar","Apr","May","Jun","Jul","Aug","Sep","Oct","Nov","Dec"},E33)</f>
        <v>Sep</v>
      </c>
      <c r="G33" s="22">
        <v>14</v>
      </c>
      <c r="H33" s="22">
        <v>10</v>
      </c>
      <c r="I33" s="59">
        <f t="shared" si="1"/>
        <v>0.7142857142857143</v>
      </c>
      <c r="J33" s="22">
        <v>15</v>
      </c>
      <c r="K33" s="22">
        <v>10</v>
      </c>
      <c r="L33" s="59">
        <f t="shared" si="2"/>
        <v>1</v>
      </c>
      <c r="M33" s="58" t="str">
        <f t="shared" si="4"/>
        <v>Met Min</v>
      </c>
    </row>
    <row r="34" spans="1:13" ht="15" customHeight="1" x14ac:dyDescent="0.35">
      <c r="A34" s="52" t="str">
        <f t="shared" si="0"/>
        <v>R00910</v>
      </c>
      <c r="B34" s="25" t="s">
        <v>150</v>
      </c>
      <c r="C34" s="52" t="str">
        <f>VLOOKUP(B34,rep_roster!$A:$B,2,0)</f>
        <v>Aisha Johnson</v>
      </c>
      <c r="D34" s="61" t="str">
        <f>VLOOKUP(B34,rep_roster!$A:$D,4,0)</f>
        <v>Mid-Market</v>
      </c>
      <c r="E34" s="25">
        <v>10</v>
      </c>
      <c r="F34" s="61" t="str">
        <f>INDEX({"Jan","Feb","Mar","Apr","May","Jun","Jul","Aug","Sep","Oct","Nov","Dec"},E34)</f>
        <v>Oct</v>
      </c>
      <c r="G34" s="25">
        <v>12</v>
      </c>
      <c r="H34" s="25">
        <v>8</v>
      </c>
      <c r="I34" s="62">
        <f t="shared" si="1"/>
        <v>0.66666666666666663</v>
      </c>
      <c r="J34" s="25">
        <v>15</v>
      </c>
      <c r="K34" s="25">
        <v>10</v>
      </c>
      <c r="L34" s="62">
        <f t="shared" si="2"/>
        <v>0.8</v>
      </c>
      <c r="M34" s="61" t="str">
        <f t="shared" si="4"/>
        <v>Below Min</v>
      </c>
    </row>
    <row r="35" spans="1:13" ht="15" customHeight="1" x14ac:dyDescent="0.35">
      <c r="A35" s="49" t="str">
        <f t="shared" si="0"/>
        <v>R00911</v>
      </c>
      <c r="B35" s="22" t="s">
        <v>150</v>
      </c>
      <c r="C35" s="49" t="str">
        <f>VLOOKUP(B35,rep_roster!$A:$B,2,0)</f>
        <v>Aisha Johnson</v>
      </c>
      <c r="D35" s="58" t="str">
        <f>VLOOKUP(B35,rep_roster!$A:$D,4,0)</f>
        <v>Mid-Market</v>
      </c>
      <c r="E35" s="22">
        <v>11</v>
      </c>
      <c r="F35" s="58" t="str">
        <f>INDEX({"Jan","Feb","Mar","Apr","May","Jun","Jul","Aug","Sep","Oct","Nov","Dec"},E35)</f>
        <v>Nov</v>
      </c>
      <c r="G35" s="22">
        <v>14</v>
      </c>
      <c r="H35" s="22">
        <v>10</v>
      </c>
      <c r="I35" s="59">
        <f t="shared" si="1"/>
        <v>0.7142857142857143</v>
      </c>
      <c r="J35" s="22">
        <v>15</v>
      </c>
      <c r="K35" s="22">
        <v>10</v>
      </c>
      <c r="L35" s="59">
        <f t="shared" si="2"/>
        <v>1</v>
      </c>
      <c r="M35" s="58" t="str">
        <f t="shared" si="4"/>
        <v>Met Min</v>
      </c>
    </row>
    <row r="36" spans="1:13" ht="15" customHeight="1" x14ac:dyDescent="0.35">
      <c r="A36" s="52" t="str">
        <f t="shared" si="0"/>
        <v>R00912</v>
      </c>
      <c r="B36" s="25" t="s">
        <v>150</v>
      </c>
      <c r="C36" s="52" t="str">
        <f>VLOOKUP(B36,rep_roster!$A:$B,2,0)</f>
        <v>Aisha Johnson</v>
      </c>
      <c r="D36" s="61" t="str">
        <f>VLOOKUP(B36,rep_roster!$A:$D,4,0)</f>
        <v>Mid-Market</v>
      </c>
      <c r="E36" s="25">
        <v>12</v>
      </c>
      <c r="F36" s="61" t="str">
        <f>INDEX({"Jan","Feb","Mar","Apr","May","Jun","Jul","Aug","Sep","Oct","Nov","Dec"},E36)</f>
        <v>Dec</v>
      </c>
      <c r="G36" s="25">
        <v>16</v>
      </c>
      <c r="H36" s="25">
        <v>11</v>
      </c>
      <c r="I36" s="62">
        <f t="shared" si="1"/>
        <v>0.6875</v>
      </c>
      <c r="J36" s="25">
        <v>15</v>
      </c>
      <c r="K36" s="25">
        <v>10</v>
      </c>
      <c r="L36" s="62">
        <f t="shared" si="2"/>
        <v>1.1000000000000001</v>
      </c>
      <c r="M36" s="61" t="str">
        <f t="shared" si="4"/>
        <v>Below Min</v>
      </c>
    </row>
    <row r="37" spans="1:13" ht="15" customHeight="1" x14ac:dyDescent="0.35">
      <c r="A37" s="49" t="str">
        <f t="shared" ref="A37:A68" si="5">B37&amp;TEXT(E37,"00")</f>
        <v>R01007</v>
      </c>
      <c r="B37" s="22" t="s">
        <v>154</v>
      </c>
      <c r="C37" s="49" t="str">
        <f>VLOOKUP(B37,rep_roster!$A:$B,2,0)</f>
        <v>Jessica Martinez</v>
      </c>
      <c r="D37" s="58" t="str">
        <f>VLOOKUP(B37,rep_roster!$A:$D,4,0)</f>
        <v>Mid-Market</v>
      </c>
      <c r="E37" s="22">
        <v>7</v>
      </c>
      <c r="F37" s="58" t="str">
        <f>INDEX({"Jan","Feb","Mar","Apr","May","Jun","Jul","Aug","Sep","Oct","Nov","Dec"},E37)</f>
        <v>Jul</v>
      </c>
      <c r="G37" s="22">
        <v>9</v>
      </c>
      <c r="H37" s="22">
        <v>6</v>
      </c>
      <c r="I37" s="59">
        <f t="shared" ref="I37:I68" si="6">IF(G37&gt;0,H37/G37,0)</f>
        <v>0.66666666666666663</v>
      </c>
      <c r="J37" s="22">
        <v>9</v>
      </c>
      <c r="K37" s="22">
        <v>2</v>
      </c>
      <c r="L37" s="59">
        <f t="shared" ref="L37:L68" si="7">IF(K37&gt;0,H37/K37,0)</f>
        <v>3</v>
      </c>
      <c r="M37" s="58" t="str">
        <f t="shared" si="4"/>
        <v>Below Min</v>
      </c>
    </row>
    <row r="38" spans="1:13" ht="15" customHeight="1" x14ac:dyDescent="0.35">
      <c r="A38" s="52" t="str">
        <f t="shared" si="5"/>
        <v>R01008</v>
      </c>
      <c r="B38" s="25" t="s">
        <v>154</v>
      </c>
      <c r="C38" s="52" t="str">
        <f>VLOOKUP(B38,rep_roster!$A:$B,2,0)</f>
        <v>Jessica Martinez</v>
      </c>
      <c r="D38" s="61" t="str">
        <f>VLOOKUP(B38,rep_roster!$A:$D,4,0)</f>
        <v>Mid-Market</v>
      </c>
      <c r="E38" s="25">
        <v>8</v>
      </c>
      <c r="F38" s="61" t="str">
        <f>INDEX({"Jan","Feb","Mar","Apr","May","Jun","Jul","Aug","Sep","Oct","Nov","Dec"},E38)</f>
        <v>Aug</v>
      </c>
      <c r="G38" s="25">
        <v>12</v>
      </c>
      <c r="H38" s="25">
        <v>8</v>
      </c>
      <c r="I38" s="62">
        <f t="shared" si="6"/>
        <v>0.66666666666666663</v>
      </c>
      <c r="J38" s="25">
        <v>9</v>
      </c>
      <c r="K38" s="25">
        <v>4</v>
      </c>
      <c r="L38" s="62">
        <f t="shared" si="7"/>
        <v>2</v>
      </c>
      <c r="M38" s="61" t="str">
        <f t="shared" si="4"/>
        <v>Below Min</v>
      </c>
    </row>
    <row r="39" spans="1:13" ht="15" customHeight="1" x14ac:dyDescent="0.35">
      <c r="A39" s="49" t="str">
        <f t="shared" si="5"/>
        <v>R01009</v>
      </c>
      <c r="B39" s="22" t="s">
        <v>154</v>
      </c>
      <c r="C39" s="49" t="str">
        <f>VLOOKUP(B39,rep_roster!$A:$B,2,0)</f>
        <v>Jessica Martinez</v>
      </c>
      <c r="D39" s="58" t="str">
        <f>VLOOKUP(B39,rep_roster!$A:$D,4,0)</f>
        <v>Mid-Market</v>
      </c>
      <c r="E39" s="22">
        <v>9</v>
      </c>
      <c r="F39" s="58" t="str">
        <f>INDEX({"Jan","Feb","Mar","Apr","May","Jun","Jul","Aug","Sep","Oct","Nov","Dec"},E39)</f>
        <v>Sep</v>
      </c>
      <c r="G39" s="22">
        <v>15</v>
      </c>
      <c r="H39" s="22">
        <v>11</v>
      </c>
      <c r="I39" s="59">
        <f t="shared" si="6"/>
        <v>0.73333333333333328</v>
      </c>
      <c r="J39" s="22">
        <v>9</v>
      </c>
      <c r="K39" s="22">
        <v>6</v>
      </c>
      <c r="L39" s="59">
        <f t="shared" si="7"/>
        <v>1.8333333333333333</v>
      </c>
      <c r="M39" s="58" t="str">
        <f t="shared" si="4"/>
        <v>Met Min</v>
      </c>
    </row>
    <row r="40" spans="1:13" ht="15" customHeight="1" x14ac:dyDescent="0.35">
      <c r="A40" s="52" t="str">
        <f t="shared" si="5"/>
        <v>R01010</v>
      </c>
      <c r="B40" s="25" t="s">
        <v>154</v>
      </c>
      <c r="C40" s="52" t="str">
        <f>VLOOKUP(B40,rep_roster!$A:$B,2,0)</f>
        <v>Jessica Martinez</v>
      </c>
      <c r="D40" s="61" t="str">
        <f>VLOOKUP(B40,rep_roster!$A:$D,4,0)</f>
        <v>Mid-Market</v>
      </c>
      <c r="E40" s="25">
        <v>10</v>
      </c>
      <c r="F40" s="61" t="str">
        <f>INDEX({"Jan","Feb","Mar","Apr","May","Jun","Jul","Aug","Sep","Oct","Nov","Dec"},E40)</f>
        <v>Oct</v>
      </c>
      <c r="G40" s="25">
        <v>14</v>
      </c>
      <c r="H40" s="25">
        <v>10</v>
      </c>
      <c r="I40" s="62">
        <f t="shared" si="6"/>
        <v>0.7142857142857143</v>
      </c>
      <c r="J40" s="25">
        <v>9</v>
      </c>
      <c r="K40" s="25">
        <v>6</v>
      </c>
      <c r="L40" s="62">
        <f t="shared" si="7"/>
        <v>1.6666666666666667</v>
      </c>
      <c r="M40" s="61" t="str">
        <f t="shared" si="4"/>
        <v>Met Min</v>
      </c>
    </row>
    <row r="41" spans="1:13" ht="15" customHeight="1" x14ac:dyDescent="0.35">
      <c r="A41" s="49" t="str">
        <f t="shared" si="5"/>
        <v>R01011</v>
      </c>
      <c r="B41" s="22" t="s">
        <v>154</v>
      </c>
      <c r="C41" s="49" t="str">
        <f>VLOOKUP(B41,rep_roster!$A:$B,2,0)</f>
        <v>Jessica Martinez</v>
      </c>
      <c r="D41" s="58" t="str">
        <f>VLOOKUP(B41,rep_roster!$A:$D,4,0)</f>
        <v>Mid-Market</v>
      </c>
      <c r="E41" s="22">
        <v>11</v>
      </c>
      <c r="F41" s="58" t="str">
        <f>INDEX({"Jan","Feb","Mar","Apr","May","Jun","Jul","Aug","Sep","Oct","Nov","Dec"},E41)</f>
        <v>Nov</v>
      </c>
      <c r="G41" s="22">
        <v>15</v>
      </c>
      <c r="H41" s="22">
        <v>11</v>
      </c>
      <c r="I41" s="59">
        <f t="shared" si="6"/>
        <v>0.73333333333333328</v>
      </c>
      <c r="J41" s="22">
        <v>9</v>
      </c>
      <c r="K41" s="22">
        <v>6</v>
      </c>
      <c r="L41" s="59">
        <f t="shared" si="7"/>
        <v>1.8333333333333333</v>
      </c>
      <c r="M41" s="58" t="str">
        <f t="shared" si="4"/>
        <v>Met Min</v>
      </c>
    </row>
    <row r="42" spans="1:13" ht="15" customHeight="1" x14ac:dyDescent="0.35">
      <c r="A42" s="52" t="str">
        <f t="shared" si="5"/>
        <v>R01012</v>
      </c>
      <c r="B42" s="25" t="s">
        <v>154</v>
      </c>
      <c r="C42" s="52" t="str">
        <f>VLOOKUP(B42,rep_roster!$A:$B,2,0)</f>
        <v>Jessica Martinez</v>
      </c>
      <c r="D42" s="61" t="str">
        <f>VLOOKUP(B42,rep_roster!$A:$D,4,0)</f>
        <v>Mid-Market</v>
      </c>
      <c r="E42" s="25">
        <v>12</v>
      </c>
      <c r="F42" s="61" t="str">
        <f>INDEX({"Jan","Feb","Mar","Apr","May","Jun","Jul","Aug","Sep","Oct","Nov","Dec"},E42)</f>
        <v>Dec</v>
      </c>
      <c r="G42" s="25">
        <v>16</v>
      </c>
      <c r="H42" s="25">
        <v>11</v>
      </c>
      <c r="I42" s="62">
        <f t="shared" si="6"/>
        <v>0.6875</v>
      </c>
      <c r="J42" s="25">
        <v>9</v>
      </c>
      <c r="K42" s="25">
        <v>6</v>
      </c>
      <c r="L42" s="62">
        <f t="shared" si="7"/>
        <v>1.8333333333333333</v>
      </c>
      <c r="M42" s="61" t="str">
        <f t="shared" si="4"/>
        <v>Below Min</v>
      </c>
    </row>
    <row r="43" spans="1:13" ht="15" customHeight="1" x14ac:dyDescent="0.35">
      <c r="A43" s="49" t="str">
        <f t="shared" si="5"/>
        <v>R01601</v>
      </c>
      <c r="B43" s="22" t="s">
        <v>166</v>
      </c>
      <c r="C43" s="49" t="str">
        <f>VLOOKUP(B43,rep_roster!$A:$B,2,0)</f>
        <v>Nina Patel</v>
      </c>
      <c r="D43" s="58" t="str">
        <f>VLOOKUP(B43,rep_roster!$A:$D,4,0)</f>
        <v>SMB</v>
      </c>
      <c r="E43" s="22">
        <v>1</v>
      </c>
      <c r="F43" s="58" t="str">
        <f>INDEX({"Jan","Feb","Mar","Apr","May","Jun","Jul","Aug","Sep","Oct","Nov","Dec"},E43)</f>
        <v>Jan</v>
      </c>
      <c r="G43" s="22">
        <v>29</v>
      </c>
      <c r="H43" s="22">
        <v>20</v>
      </c>
      <c r="I43" s="59">
        <f t="shared" si="6"/>
        <v>0.68965517241379315</v>
      </c>
      <c r="J43" s="22">
        <v>25</v>
      </c>
      <c r="K43" s="22">
        <v>16</v>
      </c>
      <c r="L43" s="59">
        <f t="shared" si="7"/>
        <v>1.25</v>
      </c>
      <c r="M43" s="58" t="str">
        <f t="shared" ref="M43:M66" si="8">IF(H43=0,"Inactive",IF(I43&gt;=0.65+0.05,"Strong",IF(I43&gt;=0.65,"Met Min","Below Min")))</f>
        <v>Met Min</v>
      </c>
    </row>
    <row r="44" spans="1:13" ht="15" customHeight="1" x14ac:dyDescent="0.35">
      <c r="A44" s="52" t="str">
        <f t="shared" si="5"/>
        <v>R01602</v>
      </c>
      <c r="B44" s="25" t="s">
        <v>166</v>
      </c>
      <c r="C44" s="52" t="str">
        <f>VLOOKUP(B44,rep_roster!$A:$B,2,0)</f>
        <v>Nina Patel</v>
      </c>
      <c r="D44" s="61" t="str">
        <f>VLOOKUP(B44,rep_roster!$A:$D,4,0)</f>
        <v>SMB</v>
      </c>
      <c r="E44" s="25">
        <v>2</v>
      </c>
      <c r="F44" s="61" t="str">
        <f>INDEX({"Jan","Feb","Mar","Apr","May","Jun","Jul","Aug","Sep","Oct","Nov","Dec"},E44)</f>
        <v>Feb</v>
      </c>
      <c r="G44" s="25">
        <v>27</v>
      </c>
      <c r="H44" s="25">
        <v>18</v>
      </c>
      <c r="I44" s="62">
        <f t="shared" si="6"/>
        <v>0.66666666666666663</v>
      </c>
      <c r="J44" s="25">
        <v>25</v>
      </c>
      <c r="K44" s="25">
        <v>16</v>
      </c>
      <c r="L44" s="62">
        <f t="shared" si="7"/>
        <v>1.125</v>
      </c>
      <c r="M44" s="61" t="str">
        <f t="shared" si="8"/>
        <v>Met Min</v>
      </c>
    </row>
    <row r="45" spans="1:13" ht="15" customHeight="1" x14ac:dyDescent="0.35">
      <c r="A45" s="49" t="str">
        <f t="shared" si="5"/>
        <v>R01603</v>
      </c>
      <c r="B45" s="22" t="s">
        <v>166</v>
      </c>
      <c r="C45" s="49" t="str">
        <f>VLOOKUP(B45,rep_roster!$A:$B,2,0)</f>
        <v>Nina Patel</v>
      </c>
      <c r="D45" s="58" t="str">
        <f>VLOOKUP(B45,rep_roster!$A:$D,4,0)</f>
        <v>SMB</v>
      </c>
      <c r="E45" s="22">
        <v>3</v>
      </c>
      <c r="F45" s="58" t="str">
        <f>INDEX({"Jan","Feb","Mar","Apr","May","Jun","Jul","Aug","Sep","Oct","Nov","Dec"},E45)</f>
        <v>Mar</v>
      </c>
      <c r="G45" s="22">
        <v>31</v>
      </c>
      <c r="H45" s="22">
        <v>21</v>
      </c>
      <c r="I45" s="59">
        <f t="shared" si="6"/>
        <v>0.67741935483870963</v>
      </c>
      <c r="J45" s="22">
        <v>25</v>
      </c>
      <c r="K45" s="22">
        <v>16</v>
      </c>
      <c r="L45" s="59">
        <f t="shared" si="7"/>
        <v>1.3125</v>
      </c>
      <c r="M45" s="58" t="str">
        <f t="shared" si="8"/>
        <v>Met Min</v>
      </c>
    </row>
    <row r="46" spans="1:13" ht="15" customHeight="1" x14ac:dyDescent="0.35">
      <c r="A46" s="52" t="str">
        <f t="shared" si="5"/>
        <v>R01604</v>
      </c>
      <c r="B46" s="25" t="s">
        <v>166</v>
      </c>
      <c r="C46" s="52" t="str">
        <f>VLOOKUP(B46,rep_roster!$A:$B,2,0)</f>
        <v>Nina Patel</v>
      </c>
      <c r="D46" s="61" t="str">
        <f>VLOOKUP(B46,rep_roster!$A:$D,4,0)</f>
        <v>SMB</v>
      </c>
      <c r="E46" s="25">
        <v>4</v>
      </c>
      <c r="F46" s="61" t="str">
        <f>INDEX({"Jan","Feb","Mar","Apr","May","Jun","Jul","Aug","Sep","Oct","Nov","Dec"},E46)</f>
        <v>Apr</v>
      </c>
      <c r="G46" s="25">
        <v>26</v>
      </c>
      <c r="H46" s="25">
        <v>17</v>
      </c>
      <c r="I46" s="62">
        <f t="shared" si="6"/>
        <v>0.65384615384615385</v>
      </c>
      <c r="J46" s="25">
        <v>25</v>
      </c>
      <c r="K46" s="25">
        <v>16</v>
      </c>
      <c r="L46" s="62">
        <f t="shared" si="7"/>
        <v>1.0625</v>
      </c>
      <c r="M46" s="61" t="str">
        <f t="shared" si="8"/>
        <v>Met Min</v>
      </c>
    </row>
    <row r="47" spans="1:13" ht="15" customHeight="1" x14ac:dyDescent="0.35">
      <c r="A47" s="49" t="str">
        <f t="shared" si="5"/>
        <v>R01605</v>
      </c>
      <c r="B47" s="22" t="s">
        <v>166</v>
      </c>
      <c r="C47" s="49" t="str">
        <f>VLOOKUP(B47,rep_roster!$A:$B,2,0)</f>
        <v>Nina Patel</v>
      </c>
      <c r="D47" s="58" t="str">
        <f>VLOOKUP(B47,rep_roster!$A:$D,4,0)</f>
        <v>SMB</v>
      </c>
      <c r="E47" s="22">
        <v>5</v>
      </c>
      <c r="F47" s="58" t="str">
        <f>INDEX({"Jan","Feb","Mar","Apr","May","Jun","Jul","Aug","Sep","Oct","Nov","Dec"},E47)</f>
        <v>May</v>
      </c>
      <c r="G47" s="22">
        <v>27</v>
      </c>
      <c r="H47" s="22">
        <v>18</v>
      </c>
      <c r="I47" s="59">
        <f t="shared" si="6"/>
        <v>0.66666666666666663</v>
      </c>
      <c r="J47" s="22">
        <v>25</v>
      </c>
      <c r="K47" s="22">
        <v>16</v>
      </c>
      <c r="L47" s="59">
        <f t="shared" si="7"/>
        <v>1.125</v>
      </c>
      <c r="M47" s="58" t="str">
        <f t="shared" si="8"/>
        <v>Met Min</v>
      </c>
    </row>
    <row r="48" spans="1:13" ht="15" customHeight="1" x14ac:dyDescent="0.35">
      <c r="A48" s="52" t="str">
        <f t="shared" si="5"/>
        <v>R01606</v>
      </c>
      <c r="B48" s="25" t="s">
        <v>166</v>
      </c>
      <c r="C48" s="52" t="str">
        <f>VLOOKUP(B48,rep_roster!$A:$B,2,0)</f>
        <v>Nina Patel</v>
      </c>
      <c r="D48" s="61" t="str">
        <f>VLOOKUP(B48,rep_roster!$A:$D,4,0)</f>
        <v>SMB</v>
      </c>
      <c r="E48" s="25">
        <v>6</v>
      </c>
      <c r="F48" s="61" t="str">
        <f>INDEX({"Jan","Feb","Mar","Apr","May","Jun","Jul","Aug","Sep","Oct","Nov","Dec"},E48)</f>
        <v>Jun</v>
      </c>
      <c r="G48" s="25">
        <v>25</v>
      </c>
      <c r="H48" s="25">
        <v>16</v>
      </c>
      <c r="I48" s="62">
        <f t="shared" si="6"/>
        <v>0.64</v>
      </c>
      <c r="J48" s="25">
        <v>25</v>
      </c>
      <c r="K48" s="25">
        <v>16</v>
      </c>
      <c r="L48" s="62">
        <f t="shared" si="7"/>
        <v>1</v>
      </c>
      <c r="M48" s="61" t="str">
        <f t="shared" si="8"/>
        <v>Below Min</v>
      </c>
    </row>
    <row r="49" spans="1:13" ht="15" customHeight="1" x14ac:dyDescent="0.35">
      <c r="A49" s="49" t="str">
        <f t="shared" si="5"/>
        <v>R01607</v>
      </c>
      <c r="B49" s="22" t="s">
        <v>166</v>
      </c>
      <c r="C49" s="49" t="str">
        <f>VLOOKUP(B49,rep_roster!$A:$B,2,0)</f>
        <v>Nina Patel</v>
      </c>
      <c r="D49" s="58" t="str">
        <f>VLOOKUP(B49,rep_roster!$A:$D,4,0)</f>
        <v>SMB</v>
      </c>
      <c r="E49" s="22">
        <v>7</v>
      </c>
      <c r="F49" s="58" t="str">
        <f>INDEX({"Jan","Feb","Mar","Apr","May","Jun","Jul","Aug","Sep","Oct","Nov","Dec"},E49)</f>
        <v>Jul</v>
      </c>
      <c r="G49" s="22">
        <v>21</v>
      </c>
      <c r="H49" s="22">
        <v>13</v>
      </c>
      <c r="I49" s="59">
        <f t="shared" si="6"/>
        <v>0.61904761904761907</v>
      </c>
      <c r="J49" s="22">
        <v>25</v>
      </c>
      <c r="K49" s="22">
        <v>16</v>
      </c>
      <c r="L49" s="59">
        <f t="shared" si="7"/>
        <v>0.8125</v>
      </c>
      <c r="M49" s="58" t="str">
        <f t="shared" si="8"/>
        <v>Below Min</v>
      </c>
    </row>
    <row r="50" spans="1:13" ht="15" customHeight="1" x14ac:dyDescent="0.35">
      <c r="A50" s="52" t="str">
        <f t="shared" si="5"/>
        <v>R01608</v>
      </c>
      <c r="B50" s="25" t="s">
        <v>166</v>
      </c>
      <c r="C50" s="52" t="str">
        <f>VLOOKUP(B50,rep_roster!$A:$B,2,0)</f>
        <v>Nina Patel</v>
      </c>
      <c r="D50" s="61" t="str">
        <f>VLOOKUP(B50,rep_roster!$A:$D,4,0)</f>
        <v>SMB</v>
      </c>
      <c r="E50" s="25">
        <v>8</v>
      </c>
      <c r="F50" s="61" t="str">
        <f>INDEX({"Jan","Feb","Mar","Apr","May","Jun","Jul","Aug","Sep","Oct","Nov","Dec"},E50)</f>
        <v>Aug</v>
      </c>
      <c r="G50" s="25">
        <v>19</v>
      </c>
      <c r="H50" s="25">
        <v>12</v>
      </c>
      <c r="I50" s="62">
        <f t="shared" si="6"/>
        <v>0.63157894736842102</v>
      </c>
      <c r="J50" s="25">
        <v>25</v>
      </c>
      <c r="K50" s="25">
        <v>16</v>
      </c>
      <c r="L50" s="62">
        <f t="shared" si="7"/>
        <v>0.75</v>
      </c>
      <c r="M50" s="61" t="str">
        <f t="shared" si="8"/>
        <v>Below Min</v>
      </c>
    </row>
    <row r="51" spans="1:13" ht="15" customHeight="1" x14ac:dyDescent="0.35">
      <c r="A51" s="49" t="str">
        <f t="shared" si="5"/>
        <v>R01609</v>
      </c>
      <c r="B51" s="22" t="s">
        <v>166</v>
      </c>
      <c r="C51" s="49" t="str">
        <f>VLOOKUP(B51,rep_roster!$A:$B,2,0)</f>
        <v>Nina Patel</v>
      </c>
      <c r="D51" s="58" t="str">
        <f>VLOOKUP(B51,rep_roster!$A:$D,4,0)</f>
        <v>SMB</v>
      </c>
      <c r="E51" s="22">
        <v>9</v>
      </c>
      <c r="F51" s="58" t="str">
        <f>INDEX({"Jan","Feb","Mar","Apr","May","Jun","Jul","Aug","Sep","Oct","Nov","Dec"},E51)</f>
        <v>Sep</v>
      </c>
      <c r="G51" s="22">
        <v>23</v>
      </c>
      <c r="H51" s="22">
        <v>15</v>
      </c>
      <c r="I51" s="59">
        <f t="shared" si="6"/>
        <v>0.65217391304347827</v>
      </c>
      <c r="J51" s="22">
        <v>25</v>
      </c>
      <c r="K51" s="22">
        <v>16</v>
      </c>
      <c r="L51" s="59">
        <f t="shared" si="7"/>
        <v>0.9375</v>
      </c>
      <c r="M51" s="58" t="str">
        <f t="shared" si="8"/>
        <v>Met Min</v>
      </c>
    </row>
    <row r="52" spans="1:13" ht="15" customHeight="1" x14ac:dyDescent="0.35">
      <c r="A52" s="52" t="str">
        <f t="shared" si="5"/>
        <v>R01610</v>
      </c>
      <c r="B52" s="25" t="s">
        <v>166</v>
      </c>
      <c r="C52" s="52" t="str">
        <f>VLOOKUP(B52,rep_roster!$A:$B,2,0)</f>
        <v>Nina Patel</v>
      </c>
      <c r="D52" s="61" t="str">
        <f>VLOOKUP(B52,rep_roster!$A:$D,4,0)</f>
        <v>SMB</v>
      </c>
      <c r="E52" s="25">
        <v>10</v>
      </c>
      <c r="F52" s="61" t="str">
        <f>INDEX({"Jan","Feb","Mar","Apr","May","Jun","Jul","Aug","Sep","Oct","Nov","Dec"},E52)</f>
        <v>Oct</v>
      </c>
      <c r="G52" s="25">
        <v>20</v>
      </c>
      <c r="H52" s="25">
        <v>13</v>
      </c>
      <c r="I52" s="62">
        <f t="shared" si="6"/>
        <v>0.65</v>
      </c>
      <c r="J52" s="25">
        <v>25</v>
      </c>
      <c r="K52" s="25">
        <v>16</v>
      </c>
      <c r="L52" s="62">
        <f t="shared" si="7"/>
        <v>0.8125</v>
      </c>
      <c r="M52" s="61" t="str">
        <f t="shared" si="8"/>
        <v>Met Min</v>
      </c>
    </row>
    <row r="53" spans="1:13" ht="15" customHeight="1" x14ac:dyDescent="0.35">
      <c r="A53" s="49" t="str">
        <f t="shared" si="5"/>
        <v>R01611</v>
      </c>
      <c r="B53" s="22" t="s">
        <v>166</v>
      </c>
      <c r="C53" s="49" t="str">
        <f>VLOOKUP(B53,rep_roster!$A:$B,2,0)</f>
        <v>Nina Patel</v>
      </c>
      <c r="D53" s="58" t="str">
        <f>VLOOKUP(B53,rep_roster!$A:$D,4,0)</f>
        <v>SMB</v>
      </c>
      <c r="E53" s="22">
        <v>11</v>
      </c>
      <c r="F53" s="58" t="str">
        <f>INDEX({"Jan","Feb","Mar","Apr","May","Jun","Jul","Aug","Sep","Oct","Nov","Dec"},E53)</f>
        <v>Nov</v>
      </c>
      <c r="G53" s="22">
        <v>22</v>
      </c>
      <c r="H53" s="22">
        <v>14</v>
      </c>
      <c r="I53" s="59">
        <f t="shared" si="6"/>
        <v>0.63636363636363635</v>
      </c>
      <c r="J53" s="22">
        <v>25</v>
      </c>
      <c r="K53" s="22">
        <v>16</v>
      </c>
      <c r="L53" s="59">
        <f t="shared" si="7"/>
        <v>0.875</v>
      </c>
      <c r="M53" s="58" t="str">
        <f t="shared" si="8"/>
        <v>Below Min</v>
      </c>
    </row>
    <row r="54" spans="1:13" ht="15" customHeight="1" x14ac:dyDescent="0.35">
      <c r="A54" s="52" t="str">
        <f t="shared" si="5"/>
        <v>R01612</v>
      </c>
      <c r="B54" s="25" t="s">
        <v>166</v>
      </c>
      <c r="C54" s="52" t="str">
        <f>VLOOKUP(B54,rep_roster!$A:$B,2,0)</f>
        <v>Nina Patel</v>
      </c>
      <c r="D54" s="61" t="str">
        <f>VLOOKUP(B54,rep_roster!$A:$D,4,0)</f>
        <v>SMB</v>
      </c>
      <c r="E54" s="25">
        <v>12</v>
      </c>
      <c r="F54" s="61" t="str">
        <f>INDEX({"Jan","Feb","Mar","Apr","May","Jun","Jul","Aug","Sep","Oct","Nov","Dec"},E54)</f>
        <v>Dec</v>
      </c>
      <c r="G54" s="25">
        <v>25</v>
      </c>
      <c r="H54" s="25">
        <v>17</v>
      </c>
      <c r="I54" s="62">
        <f t="shared" si="6"/>
        <v>0.68</v>
      </c>
      <c r="J54" s="25">
        <v>25</v>
      </c>
      <c r="K54" s="25">
        <v>16</v>
      </c>
      <c r="L54" s="62">
        <f t="shared" si="7"/>
        <v>1.0625</v>
      </c>
      <c r="M54" s="61" t="str">
        <f t="shared" si="8"/>
        <v>Met Min</v>
      </c>
    </row>
    <row r="55" spans="1:13" ht="15" customHeight="1" x14ac:dyDescent="0.35">
      <c r="A55" s="49" t="str">
        <f t="shared" si="5"/>
        <v>R01701</v>
      </c>
      <c r="B55" s="22" t="s">
        <v>168</v>
      </c>
      <c r="C55" s="49" t="str">
        <f>VLOOKUP(B55,rep_roster!$A:$B,2,0)</f>
        <v>Derek Washington</v>
      </c>
      <c r="D55" s="58" t="str">
        <f>VLOOKUP(B55,rep_roster!$A:$D,4,0)</f>
        <v>SMB</v>
      </c>
      <c r="E55" s="22">
        <v>1</v>
      </c>
      <c r="F55" s="58" t="str">
        <f>INDEX({"Jan","Feb","Mar","Apr","May","Jun","Jul","Aug","Sep","Oct","Nov","Dec"},E55)</f>
        <v>Jan</v>
      </c>
      <c r="G55" s="22">
        <v>27</v>
      </c>
      <c r="H55" s="22">
        <v>18</v>
      </c>
      <c r="I55" s="59">
        <f t="shared" si="6"/>
        <v>0.66666666666666663</v>
      </c>
      <c r="J55" s="22">
        <v>25</v>
      </c>
      <c r="K55" s="22">
        <v>16</v>
      </c>
      <c r="L55" s="59">
        <f t="shared" si="7"/>
        <v>1.125</v>
      </c>
      <c r="M55" s="58" t="str">
        <f t="shared" si="8"/>
        <v>Met Min</v>
      </c>
    </row>
    <row r="56" spans="1:13" ht="15" customHeight="1" x14ac:dyDescent="0.35">
      <c r="A56" s="52" t="str">
        <f t="shared" si="5"/>
        <v>R01702</v>
      </c>
      <c r="B56" s="25" t="s">
        <v>168</v>
      </c>
      <c r="C56" s="52" t="str">
        <f>VLOOKUP(B56,rep_roster!$A:$B,2,0)</f>
        <v>Derek Washington</v>
      </c>
      <c r="D56" s="61" t="str">
        <f>VLOOKUP(B56,rep_roster!$A:$D,4,0)</f>
        <v>SMB</v>
      </c>
      <c r="E56" s="25">
        <v>2</v>
      </c>
      <c r="F56" s="61" t="str">
        <f>INDEX({"Jan","Feb","Mar","Apr","May","Jun","Jul","Aug","Sep","Oct","Nov","Dec"},E56)</f>
        <v>Feb</v>
      </c>
      <c r="G56" s="25">
        <v>25</v>
      </c>
      <c r="H56" s="25">
        <v>17</v>
      </c>
      <c r="I56" s="62">
        <f t="shared" si="6"/>
        <v>0.68</v>
      </c>
      <c r="J56" s="25">
        <v>25</v>
      </c>
      <c r="K56" s="25">
        <v>16</v>
      </c>
      <c r="L56" s="62">
        <f t="shared" si="7"/>
        <v>1.0625</v>
      </c>
      <c r="M56" s="61" t="str">
        <f t="shared" si="8"/>
        <v>Met Min</v>
      </c>
    </row>
    <row r="57" spans="1:13" ht="15" customHeight="1" x14ac:dyDescent="0.35">
      <c r="A57" s="49" t="str">
        <f t="shared" si="5"/>
        <v>R01703</v>
      </c>
      <c r="B57" s="22" t="s">
        <v>168</v>
      </c>
      <c r="C57" s="49" t="str">
        <f>VLOOKUP(B57,rep_roster!$A:$B,2,0)</f>
        <v>Derek Washington</v>
      </c>
      <c r="D57" s="58" t="str">
        <f>VLOOKUP(B57,rep_roster!$A:$D,4,0)</f>
        <v>SMB</v>
      </c>
      <c r="E57" s="22">
        <v>3</v>
      </c>
      <c r="F57" s="58" t="str">
        <f>INDEX({"Jan","Feb","Mar","Apr","May","Jun","Jul","Aug","Sep","Oct","Nov","Dec"},E57)</f>
        <v>Mar</v>
      </c>
      <c r="G57" s="22">
        <v>29</v>
      </c>
      <c r="H57" s="22">
        <v>19</v>
      </c>
      <c r="I57" s="59">
        <f t="shared" si="6"/>
        <v>0.65517241379310343</v>
      </c>
      <c r="J57" s="22">
        <v>25</v>
      </c>
      <c r="K57" s="22">
        <v>16</v>
      </c>
      <c r="L57" s="59">
        <f t="shared" si="7"/>
        <v>1.1875</v>
      </c>
      <c r="M57" s="58" t="str">
        <f t="shared" si="8"/>
        <v>Met Min</v>
      </c>
    </row>
    <row r="58" spans="1:13" ht="15" customHeight="1" x14ac:dyDescent="0.35">
      <c r="A58" s="52" t="str">
        <f t="shared" si="5"/>
        <v>R01704</v>
      </c>
      <c r="B58" s="25" t="s">
        <v>168</v>
      </c>
      <c r="C58" s="52" t="str">
        <f>VLOOKUP(B58,rep_roster!$A:$B,2,0)</f>
        <v>Derek Washington</v>
      </c>
      <c r="D58" s="61" t="str">
        <f>VLOOKUP(B58,rep_roster!$A:$D,4,0)</f>
        <v>SMB</v>
      </c>
      <c r="E58" s="25">
        <v>4</v>
      </c>
      <c r="F58" s="61" t="str">
        <f>INDEX({"Jan","Feb","Mar","Apr","May","Jun","Jul","Aug","Sep","Oct","Nov","Dec"},E58)</f>
        <v>Apr</v>
      </c>
      <c r="G58" s="25">
        <v>24</v>
      </c>
      <c r="H58" s="25">
        <v>16</v>
      </c>
      <c r="I58" s="62">
        <f t="shared" si="6"/>
        <v>0.66666666666666663</v>
      </c>
      <c r="J58" s="25">
        <v>25</v>
      </c>
      <c r="K58" s="25">
        <v>16</v>
      </c>
      <c r="L58" s="62">
        <f t="shared" si="7"/>
        <v>1</v>
      </c>
      <c r="M58" s="61" t="str">
        <f t="shared" si="8"/>
        <v>Met Min</v>
      </c>
    </row>
    <row r="59" spans="1:13" ht="15" customHeight="1" x14ac:dyDescent="0.35">
      <c r="A59" s="49" t="str">
        <f t="shared" si="5"/>
        <v>R01705</v>
      </c>
      <c r="B59" s="22" t="s">
        <v>168</v>
      </c>
      <c r="C59" s="49" t="str">
        <f>VLOOKUP(B59,rep_roster!$A:$B,2,0)</f>
        <v>Derek Washington</v>
      </c>
      <c r="D59" s="58" t="str">
        <f>VLOOKUP(B59,rep_roster!$A:$D,4,0)</f>
        <v>SMB</v>
      </c>
      <c r="E59" s="22">
        <v>5</v>
      </c>
      <c r="F59" s="58" t="str">
        <f>INDEX({"Jan","Feb","Mar","Apr","May","Jun","Jul","Aug","Sep","Oct","Nov","Dec"},E59)</f>
        <v>May</v>
      </c>
      <c r="G59" s="22">
        <v>26</v>
      </c>
      <c r="H59" s="22">
        <v>17</v>
      </c>
      <c r="I59" s="59">
        <f t="shared" si="6"/>
        <v>0.65384615384615385</v>
      </c>
      <c r="J59" s="22">
        <v>25</v>
      </c>
      <c r="K59" s="22">
        <v>16</v>
      </c>
      <c r="L59" s="59">
        <f t="shared" si="7"/>
        <v>1.0625</v>
      </c>
      <c r="M59" s="58" t="str">
        <f t="shared" si="8"/>
        <v>Met Min</v>
      </c>
    </row>
    <row r="60" spans="1:13" ht="15" customHeight="1" x14ac:dyDescent="0.35">
      <c r="A60" s="52" t="str">
        <f t="shared" si="5"/>
        <v>R01706</v>
      </c>
      <c r="B60" s="25" t="s">
        <v>168</v>
      </c>
      <c r="C60" s="52" t="str">
        <f>VLOOKUP(B60,rep_roster!$A:$B,2,0)</f>
        <v>Derek Washington</v>
      </c>
      <c r="D60" s="61" t="str">
        <f>VLOOKUP(B60,rep_roster!$A:$D,4,0)</f>
        <v>SMB</v>
      </c>
      <c r="E60" s="25">
        <v>6</v>
      </c>
      <c r="F60" s="61" t="str">
        <f>INDEX({"Jan","Feb","Mar","Apr","May","Jun","Jul","Aug","Sep","Oct","Nov","Dec"},E60)</f>
        <v>Jun</v>
      </c>
      <c r="G60" s="25">
        <v>23</v>
      </c>
      <c r="H60" s="25">
        <v>15</v>
      </c>
      <c r="I60" s="62">
        <f t="shared" si="6"/>
        <v>0.65217391304347827</v>
      </c>
      <c r="J60" s="25">
        <v>25</v>
      </c>
      <c r="K60" s="25">
        <v>16</v>
      </c>
      <c r="L60" s="62">
        <f t="shared" si="7"/>
        <v>0.9375</v>
      </c>
      <c r="M60" s="61" t="str">
        <f t="shared" si="8"/>
        <v>Met Min</v>
      </c>
    </row>
    <row r="61" spans="1:13" ht="15" customHeight="1" x14ac:dyDescent="0.35">
      <c r="A61" s="49" t="str">
        <f t="shared" si="5"/>
        <v>R01707</v>
      </c>
      <c r="B61" s="22" t="s">
        <v>168</v>
      </c>
      <c r="C61" s="49" t="str">
        <f>VLOOKUP(B61,rep_roster!$A:$B,2,0)</f>
        <v>Derek Washington</v>
      </c>
      <c r="D61" s="58" t="str">
        <f>VLOOKUP(B61,rep_roster!$A:$D,4,0)</f>
        <v>SMB</v>
      </c>
      <c r="E61" s="22">
        <v>7</v>
      </c>
      <c r="F61" s="58" t="str">
        <f>INDEX({"Jan","Feb","Mar","Apr","May","Jun","Jul","Aug","Sep","Oct","Nov","Dec"},E61)</f>
        <v>Jul</v>
      </c>
      <c r="G61" s="22">
        <v>20</v>
      </c>
      <c r="H61" s="22">
        <v>13</v>
      </c>
      <c r="I61" s="59">
        <f t="shared" si="6"/>
        <v>0.65</v>
      </c>
      <c r="J61" s="22">
        <v>25</v>
      </c>
      <c r="K61" s="22">
        <v>16</v>
      </c>
      <c r="L61" s="59">
        <f t="shared" si="7"/>
        <v>0.8125</v>
      </c>
      <c r="M61" s="58" t="str">
        <f t="shared" si="8"/>
        <v>Met Min</v>
      </c>
    </row>
    <row r="62" spans="1:13" ht="15" customHeight="1" x14ac:dyDescent="0.35">
      <c r="A62" s="52" t="str">
        <f t="shared" si="5"/>
        <v>R01708</v>
      </c>
      <c r="B62" s="25" t="s">
        <v>168</v>
      </c>
      <c r="C62" s="52" t="str">
        <f>VLOOKUP(B62,rep_roster!$A:$B,2,0)</f>
        <v>Derek Washington</v>
      </c>
      <c r="D62" s="61" t="str">
        <f>VLOOKUP(B62,rep_roster!$A:$D,4,0)</f>
        <v>SMB</v>
      </c>
      <c r="E62" s="25">
        <v>8</v>
      </c>
      <c r="F62" s="61" t="str">
        <f>INDEX({"Jan","Feb","Mar","Apr","May","Jun","Jul","Aug","Sep","Oct","Nov","Dec"},E62)</f>
        <v>Aug</v>
      </c>
      <c r="G62" s="25">
        <v>18</v>
      </c>
      <c r="H62" s="25">
        <v>12</v>
      </c>
      <c r="I62" s="62">
        <f t="shared" si="6"/>
        <v>0.66666666666666663</v>
      </c>
      <c r="J62" s="25">
        <v>25</v>
      </c>
      <c r="K62" s="25">
        <v>16</v>
      </c>
      <c r="L62" s="62">
        <f t="shared" si="7"/>
        <v>0.75</v>
      </c>
      <c r="M62" s="61" t="str">
        <f t="shared" si="8"/>
        <v>Met Min</v>
      </c>
    </row>
    <row r="63" spans="1:13" ht="15" customHeight="1" x14ac:dyDescent="0.35">
      <c r="A63" s="49" t="str">
        <f t="shared" si="5"/>
        <v>R01709</v>
      </c>
      <c r="B63" s="22" t="s">
        <v>168</v>
      </c>
      <c r="C63" s="49" t="str">
        <f>VLOOKUP(B63,rep_roster!$A:$B,2,0)</f>
        <v>Derek Washington</v>
      </c>
      <c r="D63" s="58" t="str">
        <f>VLOOKUP(B63,rep_roster!$A:$D,4,0)</f>
        <v>SMB</v>
      </c>
      <c r="E63" s="22">
        <v>9</v>
      </c>
      <c r="F63" s="58" t="str">
        <f>INDEX({"Jan","Feb","Mar","Apr","May","Jun","Jul","Aug","Sep","Oct","Nov","Dec"},E63)</f>
        <v>Sep</v>
      </c>
      <c r="G63" s="22">
        <v>22</v>
      </c>
      <c r="H63" s="22">
        <v>14</v>
      </c>
      <c r="I63" s="59">
        <f t="shared" si="6"/>
        <v>0.63636363636363635</v>
      </c>
      <c r="J63" s="22">
        <v>25</v>
      </c>
      <c r="K63" s="22">
        <v>16</v>
      </c>
      <c r="L63" s="59">
        <f t="shared" si="7"/>
        <v>0.875</v>
      </c>
      <c r="M63" s="58" t="str">
        <f t="shared" si="8"/>
        <v>Below Min</v>
      </c>
    </row>
    <row r="64" spans="1:13" ht="15" customHeight="1" x14ac:dyDescent="0.35">
      <c r="A64" s="52" t="str">
        <f t="shared" si="5"/>
        <v>R01710</v>
      </c>
      <c r="B64" s="25" t="s">
        <v>168</v>
      </c>
      <c r="C64" s="52" t="str">
        <f>VLOOKUP(B64,rep_roster!$A:$B,2,0)</f>
        <v>Derek Washington</v>
      </c>
      <c r="D64" s="61" t="str">
        <f>VLOOKUP(B64,rep_roster!$A:$D,4,0)</f>
        <v>SMB</v>
      </c>
      <c r="E64" s="25">
        <v>10</v>
      </c>
      <c r="F64" s="61" t="str">
        <f>INDEX({"Jan","Feb","Mar","Apr","May","Jun","Jul","Aug","Sep","Oct","Nov","Dec"},E64)</f>
        <v>Oct</v>
      </c>
      <c r="G64" s="25">
        <v>19</v>
      </c>
      <c r="H64" s="25">
        <v>12</v>
      </c>
      <c r="I64" s="62">
        <f t="shared" si="6"/>
        <v>0.63157894736842102</v>
      </c>
      <c r="J64" s="25">
        <v>25</v>
      </c>
      <c r="K64" s="25">
        <v>16</v>
      </c>
      <c r="L64" s="62">
        <f t="shared" si="7"/>
        <v>0.75</v>
      </c>
      <c r="M64" s="61" t="str">
        <f t="shared" si="8"/>
        <v>Below Min</v>
      </c>
    </row>
    <row r="65" spans="1:13" ht="15" customHeight="1" x14ac:dyDescent="0.35">
      <c r="A65" s="49" t="str">
        <f t="shared" si="5"/>
        <v>R01711</v>
      </c>
      <c r="B65" s="22" t="s">
        <v>168</v>
      </c>
      <c r="C65" s="49" t="str">
        <f>VLOOKUP(B65,rep_roster!$A:$B,2,0)</f>
        <v>Derek Washington</v>
      </c>
      <c r="D65" s="58" t="str">
        <f>VLOOKUP(B65,rep_roster!$A:$D,4,0)</f>
        <v>SMB</v>
      </c>
      <c r="E65" s="22">
        <v>11</v>
      </c>
      <c r="F65" s="58" t="str">
        <f>INDEX({"Jan","Feb","Mar","Apr","May","Jun","Jul","Aug","Sep","Oct","Nov","Dec"},E65)</f>
        <v>Nov</v>
      </c>
      <c r="G65" s="22">
        <v>21</v>
      </c>
      <c r="H65" s="22">
        <v>14</v>
      </c>
      <c r="I65" s="59">
        <f t="shared" si="6"/>
        <v>0.66666666666666663</v>
      </c>
      <c r="J65" s="22">
        <v>25</v>
      </c>
      <c r="K65" s="22">
        <v>16</v>
      </c>
      <c r="L65" s="59">
        <f t="shared" si="7"/>
        <v>0.875</v>
      </c>
      <c r="M65" s="58" t="str">
        <f t="shared" si="8"/>
        <v>Met Min</v>
      </c>
    </row>
    <row r="66" spans="1:13" ht="15" customHeight="1" x14ac:dyDescent="0.35">
      <c r="A66" s="52" t="str">
        <f t="shared" si="5"/>
        <v>R01712</v>
      </c>
      <c r="B66" s="25" t="s">
        <v>168</v>
      </c>
      <c r="C66" s="52" t="str">
        <f>VLOOKUP(B66,rep_roster!$A:$B,2,0)</f>
        <v>Derek Washington</v>
      </c>
      <c r="D66" s="61" t="str">
        <f>VLOOKUP(B66,rep_roster!$A:$D,4,0)</f>
        <v>SMB</v>
      </c>
      <c r="E66" s="25">
        <v>12</v>
      </c>
      <c r="F66" s="61" t="str">
        <f>INDEX({"Jan","Feb","Mar","Apr","May","Jun","Jul","Aug","Sep","Oct","Nov","Dec"},E66)</f>
        <v>Dec</v>
      </c>
      <c r="G66" s="25">
        <v>24</v>
      </c>
      <c r="H66" s="25">
        <v>16</v>
      </c>
      <c r="I66" s="62">
        <f t="shared" si="6"/>
        <v>0.66666666666666663</v>
      </c>
      <c r="J66" s="25">
        <v>25</v>
      </c>
      <c r="K66" s="25">
        <v>16</v>
      </c>
      <c r="L66" s="62">
        <f t="shared" si="7"/>
        <v>1</v>
      </c>
      <c r="M66" s="61" t="str">
        <f t="shared" si="8"/>
        <v>Met Min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V187"/>
  <sheetViews>
    <sheetView showGridLines="0" topLeftCell="I1" zoomScale="90" zoomScaleNormal="90" workbookViewId="0">
      <pane ySplit="4" topLeftCell="A5" activePane="bottomLeft" state="frozen"/>
      <selection pane="bottomLeft" activeCell="T8" sqref="T8"/>
    </sheetView>
  </sheetViews>
  <sheetFormatPr defaultColWidth="8.6328125" defaultRowHeight="14.5" x14ac:dyDescent="0.35"/>
  <cols>
    <col min="1" max="2" width="10" customWidth="1"/>
    <col min="3" max="3" width="8" customWidth="1"/>
    <col min="4" max="4" width="22" customWidth="1"/>
    <col min="5" max="5" width="12" customWidth="1"/>
    <col min="6" max="6" width="14" customWidth="1"/>
    <col min="7" max="8" width="8" customWidth="1"/>
    <col min="9" max="10" width="18" customWidth="1"/>
    <col min="11" max="11" width="10" customWidth="1"/>
    <col min="12" max="12" width="16" customWidth="1"/>
    <col min="13" max="13" width="12" customWidth="1"/>
    <col min="14" max="14" width="18" customWidth="1"/>
    <col min="15" max="15" width="16" customWidth="1"/>
    <col min="16" max="17" width="14" customWidth="1"/>
    <col min="18" max="18" width="12" customWidth="1"/>
    <col min="19" max="21" width="18" customWidth="1"/>
    <col min="22" max="22" width="20" customWidth="1"/>
  </cols>
  <sheetData>
    <row r="1" spans="1:22" ht="30" customHeight="1" x14ac:dyDescent="0.35">
      <c r="A1" s="14" t="s">
        <v>202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22" ht="19.5" customHeight="1" x14ac:dyDescent="0.35">
      <c r="A2" s="13" t="s">
        <v>203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22" ht="6" customHeight="1" x14ac:dyDescent="0.35"/>
    <row r="4" spans="1:22" ht="15" customHeight="1" x14ac:dyDescent="0.35">
      <c r="A4" s="19" t="s">
        <v>204</v>
      </c>
      <c r="B4" s="19" t="s">
        <v>117</v>
      </c>
      <c r="C4" s="19" t="s">
        <v>205</v>
      </c>
      <c r="D4" s="19" t="s">
        <v>186</v>
      </c>
      <c r="E4" s="19" t="s">
        <v>70</v>
      </c>
      <c r="F4" s="19" t="s">
        <v>21</v>
      </c>
      <c r="G4" s="19" t="s">
        <v>206</v>
      </c>
      <c r="H4" s="19" t="s">
        <v>207</v>
      </c>
      <c r="I4" s="19" t="s">
        <v>208</v>
      </c>
      <c r="J4" s="19" t="s">
        <v>189</v>
      </c>
      <c r="K4" s="19" t="s">
        <v>209</v>
      </c>
      <c r="L4" s="19" t="s">
        <v>191</v>
      </c>
      <c r="M4" s="19" t="s">
        <v>69</v>
      </c>
      <c r="N4" s="19" t="s">
        <v>210</v>
      </c>
      <c r="O4" s="19" t="s">
        <v>211</v>
      </c>
      <c r="P4" s="19" t="s">
        <v>212</v>
      </c>
      <c r="Q4" s="19" t="s">
        <v>213</v>
      </c>
      <c r="R4" s="19" t="s">
        <v>214</v>
      </c>
      <c r="S4" s="19" t="s">
        <v>215</v>
      </c>
      <c r="T4" s="19" t="s">
        <v>216</v>
      </c>
      <c r="U4" s="19" t="s">
        <v>217</v>
      </c>
      <c r="V4" s="56" t="s">
        <v>218</v>
      </c>
    </row>
    <row r="5" spans="1:22" ht="15" customHeight="1" x14ac:dyDescent="0.35">
      <c r="A5" s="64">
        <v>1</v>
      </c>
      <c r="B5" s="25" t="s">
        <v>130</v>
      </c>
      <c r="C5" s="25">
        <v>1</v>
      </c>
      <c r="D5" s="52" t="str">
        <f>VLOOKUP(B5,rep_roster!$A:$B,2,0)</f>
        <v>Marcus Williams</v>
      </c>
      <c r="E5" s="61" t="str">
        <f>VLOOKUP(B5,rep_roster!$A:$C,3,0)</f>
        <v>SDR</v>
      </c>
      <c r="F5" s="61" t="str">
        <f>VLOOKUP(B5,rep_roster!$A:$D,4,0)</f>
        <v>Enterprise</v>
      </c>
      <c r="G5" s="61" t="str">
        <f>INDEX({"Jan","Feb","Mar","Apr","May","Jun","Jul","Aug","Sep","Oct","Nov","Dec"},C5)</f>
        <v>Jan</v>
      </c>
      <c r="H5" s="64">
        <v>2025</v>
      </c>
      <c r="I5" s="53">
        <f>IFERROR(VLOOKUP(E5&amp;"_"&amp;F5,plan_catalog!$A:$D,4,0)/12,0)</f>
        <v>5166.666666666667</v>
      </c>
      <c r="J5" s="39">
        <v>8</v>
      </c>
      <c r="K5" s="39">
        <v>9</v>
      </c>
      <c r="L5" s="62">
        <f t="shared" ref="L5:L36" si="0">IF(J5&gt;0,K5/J5,0)</f>
        <v>1.125</v>
      </c>
      <c r="M5" s="52" t="str">
        <f>IFERROR(VLOOKUP(B5,rep_roster!$A:$L,12,0),E5&amp;"_"&amp;F5)</f>
        <v>SDR_Enterprise</v>
      </c>
      <c r="N5" s="65">
        <f>IFERROR(VLOOKUP(M5,plan_catalog!$A:$G,7,0),0)</f>
        <v>319</v>
      </c>
      <c r="O5" s="53">
        <f t="shared" ref="O5:O36" si="1">K5*N5</f>
        <v>2871</v>
      </c>
      <c r="P5" s="66">
        <f>IFERROR(VLOOKUP(M5,plan_catalog!$A:$I,9,0),0)</f>
        <v>1.1000000000000001</v>
      </c>
      <c r="Q5" s="67">
        <f>IFERROR(VLOOKUP(M5,plan_catalog!$A:$J,10,0),1)</f>
        <v>1.3</v>
      </c>
      <c r="R5" s="66" t="str">
        <f>IFERROR(VLOOKUP(M5,plan_catalog!$A:$K,11,0),0)</f>
        <v>—</v>
      </c>
      <c r="S5" s="67" t="str">
        <f>IFERROR(VLOOKUP(M5,plan_catalog!$A:$L,12,0),1)</f>
        <v>—</v>
      </c>
      <c r="T5" s="68">
        <f t="shared" ref="T5:T36" si="2">IF(AND(R5&gt;0,L5&gt;=R5),S5,IF(AND(P5&gt;0,L5&gt;=P5),Q5,1))</f>
        <v>1.3</v>
      </c>
      <c r="U5" s="69">
        <f t="shared" ref="U5:U36" si="3">O5*T5</f>
        <v>3732.3</v>
      </c>
      <c r="V5" s="57">
        <f t="shared" ref="V5:V36" si="4">I5+U5</f>
        <v>8898.9666666666672</v>
      </c>
    </row>
    <row r="6" spans="1:22" ht="15" customHeight="1" x14ac:dyDescent="0.35">
      <c r="A6" s="70">
        <v>2</v>
      </c>
      <c r="B6" s="22" t="s">
        <v>130</v>
      </c>
      <c r="C6" s="22">
        <v>2</v>
      </c>
      <c r="D6" s="49" t="str">
        <f>VLOOKUP(B6,rep_roster!$A:$B,2,0)</f>
        <v>Marcus Williams</v>
      </c>
      <c r="E6" s="58" t="str">
        <f>VLOOKUP(B6,rep_roster!$A:$C,3,0)</f>
        <v>SDR</v>
      </c>
      <c r="F6" s="58" t="str">
        <f>VLOOKUP(B6,rep_roster!$A:$D,4,0)</f>
        <v>Enterprise</v>
      </c>
      <c r="G6" s="58" t="str">
        <f>INDEX({"Jan","Feb","Mar","Apr","May","Jun","Jul","Aug","Sep","Oct","Nov","Dec"},C6)</f>
        <v>Feb</v>
      </c>
      <c r="H6" s="70">
        <v>2025</v>
      </c>
      <c r="I6" s="50">
        <f>IFERROR(VLOOKUP(E6&amp;"_"&amp;F6,plan_catalog!$A:$D,4,0)/12,0)</f>
        <v>5166.666666666667</v>
      </c>
      <c r="J6" s="33">
        <v>8</v>
      </c>
      <c r="K6" s="33">
        <v>8</v>
      </c>
      <c r="L6" s="59">
        <f t="shared" si="0"/>
        <v>1</v>
      </c>
      <c r="M6" s="49" t="str">
        <f>IFERROR(VLOOKUP(B6,rep_roster!$A:$L,12,0),E6&amp;"_"&amp;F6)</f>
        <v>SDR_Enterprise</v>
      </c>
      <c r="N6" s="71">
        <f>IFERROR(VLOOKUP(M6,plan_catalog!$A:$G,7,0),0)</f>
        <v>319</v>
      </c>
      <c r="O6" s="50">
        <f t="shared" si="1"/>
        <v>2552</v>
      </c>
      <c r="P6" s="72">
        <f>IFERROR(VLOOKUP(M6,plan_catalog!$A:$I,9,0),0)</f>
        <v>1.1000000000000001</v>
      </c>
      <c r="Q6" s="73">
        <f>IFERROR(VLOOKUP(M6,plan_catalog!$A:$J,10,0),1)</f>
        <v>1.3</v>
      </c>
      <c r="R6" s="72" t="str">
        <f>IFERROR(VLOOKUP(M6,plan_catalog!$A:$K,11,0),0)</f>
        <v>—</v>
      </c>
      <c r="S6" s="73" t="str">
        <f>IFERROR(VLOOKUP(M6,plan_catalog!$A:$L,12,0),1)</f>
        <v>—</v>
      </c>
      <c r="T6" s="74">
        <f t="shared" si="2"/>
        <v>1</v>
      </c>
      <c r="U6" s="69">
        <f t="shared" si="3"/>
        <v>2552</v>
      </c>
      <c r="V6" s="57">
        <f t="shared" si="4"/>
        <v>7718.666666666667</v>
      </c>
    </row>
    <row r="7" spans="1:22" ht="15" customHeight="1" x14ac:dyDescent="0.35">
      <c r="A7" s="64">
        <v>3</v>
      </c>
      <c r="B7" s="25" t="s">
        <v>130</v>
      </c>
      <c r="C7" s="25">
        <v>3</v>
      </c>
      <c r="D7" s="52" t="str">
        <f>VLOOKUP(B7,rep_roster!$A:$B,2,0)</f>
        <v>Marcus Williams</v>
      </c>
      <c r="E7" s="61" t="str">
        <f>VLOOKUP(B7,rep_roster!$A:$C,3,0)</f>
        <v>SDR</v>
      </c>
      <c r="F7" s="61" t="str">
        <f>VLOOKUP(B7,rep_roster!$A:$D,4,0)</f>
        <v>Enterprise</v>
      </c>
      <c r="G7" s="61" t="str">
        <f>INDEX({"Jan","Feb","Mar","Apr","May","Jun","Jul","Aug","Sep","Oct","Nov","Dec"},C7)</f>
        <v>Mar</v>
      </c>
      <c r="H7" s="64">
        <v>2025</v>
      </c>
      <c r="I7" s="53">
        <f>IFERROR(VLOOKUP(E7&amp;"_"&amp;F7,plan_catalog!$A:$D,4,0)/12,0)</f>
        <v>5166.666666666667</v>
      </c>
      <c r="J7" s="39">
        <v>8</v>
      </c>
      <c r="K7" s="39">
        <v>9</v>
      </c>
      <c r="L7" s="62">
        <f t="shared" si="0"/>
        <v>1.125</v>
      </c>
      <c r="M7" s="52" t="str">
        <f>IFERROR(VLOOKUP(B7,rep_roster!$A:$L,12,0),E7&amp;"_"&amp;F7)</f>
        <v>SDR_Enterprise</v>
      </c>
      <c r="N7" s="65">
        <f>IFERROR(VLOOKUP(M7,plan_catalog!$A:$G,7,0),0)</f>
        <v>319</v>
      </c>
      <c r="O7" s="53">
        <f t="shared" si="1"/>
        <v>2871</v>
      </c>
      <c r="P7" s="66">
        <f>IFERROR(VLOOKUP(M7,plan_catalog!$A:$I,9,0),0)</f>
        <v>1.1000000000000001</v>
      </c>
      <c r="Q7" s="67">
        <f>IFERROR(VLOOKUP(M7,plan_catalog!$A:$J,10,0),1)</f>
        <v>1.3</v>
      </c>
      <c r="R7" s="66" t="str">
        <f>IFERROR(VLOOKUP(M7,plan_catalog!$A:$K,11,0),0)</f>
        <v>—</v>
      </c>
      <c r="S7" s="67" t="str">
        <f>IFERROR(VLOOKUP(M7,plan_catalog!$A:$L,12,0),1)</f>
        <v>—</v>
      </c>
      <c r="T7" s="68">
        <f>IF(AND(R7&gt;0,L7&gt;=R7),S7,IF(AND(plan_catalog!P7&gt;0,L7&gt;=P7),Q7,1))</f>
        <v>1</v>
      </c>
      <c r="U7" s="69">
        <f t="shared" si="3"/>
        <v>2871</v>
      </c>
      <c r="V7" s="57">
        <f t="shared" si="4"/>
        <v>8037.666666666667</v>
      </c>
    </row>
    <row r="8" spans="1:22" ht="15" customHeight="1" x14ac:dyDescent="0.35">
      <c r="A8" s="70">
        <v>4</v>
      </c>
      <c r="B8" s="22" t="s">
        <v>130</v>
      </c>
      <c r="C8" s="22">
        <v>4</v>
      </c>
      <c r="D8" s="49" t="str">
        <f>VLOOKUP(B8,rep_roster!$A:$B,2,0)</f>
        <v>Marcus Williams</v>
      </c>
      <c r="E8" s="58" t="str">
        <f>VLOOKUP(B8,rep_roster!$A:$C,3,0)</f>
        <v>SDR</v>
      </c>
      <c r="F8" s="58" t="str">
        <f>VLOOKUP(B8,rep_roster!$A:$D,4,0)</f>
        <v>Enterprise</v>
      </c>
      <c r="G8" s="58" t="str">
        <f>INDEX({"Jan","Feb","Mar","Apr","May","Jun","Jul","Aug","Sep","Oct","Nov","Dec"},C8)</f>
        <v>Apr</v>
      </c>
      <c r="H8" s="70">
        <v>2025</v>
      </c>
      <c r="I8" s="50">
        <f>IFERROR(VLOOKUP(E8&amp;"_"&amp;F8,plan_catalog!$A:$D,4,0)/12,0)</f>
        <v>5166.666666666667</v>
      </c>
      <c r="J8" s="33">
        <v>8</v>
      </c>
      <c r="K8" s="33">
        <v>7</v>
      </c>
      <c r="L8" s="59">
        <f t="shared" si="0"/>
        <v>0.875</v>
      </c>
      <c r="M8" s="49" t="str">
        <f>IFERROR(VLOOKUP(B8,rep_roster!$A:$L,12,0),E8&amp;"_"&amp;F8)</f>
        <v>SDR_Enterprise</v>
      </c>
      <c r="N8" s="71">
        <f>IFERROR(VLOOKUP(M8,plan_catalog!$A:$G,7,0),0)</f>
        <v>319</v>
      </c>
      <c r="O8" s="50">
        <f t="shared" si="1"/>
        <v>2233</v>
      </c>
      <c r="P8" s="72">
        <f>IFERROR(VLOOKUP(M8,plan_catalog!$A:$I,9,0),0)</f>
        <v>1.1000000000000001</v>
      </c>
      <c r="Q8" s="73">
        <f>IFERROR(VLOOKUP(M8,plan_catalog!$A:$J,10,0),1)</f>
        <v>1.3</v>
      </c>
      <c r="R8" s="72" t="str">
        <f>IFERROR(VLOOKUP(M8,plan_catalog!$A:$K,11,0),0)</f>
        <v>—</v>
      </c>
      <c r="S8" s="73" t="str">
        <f>IFERROR(VLOOKUP(M8,plan_catalog!$A:$L,12,0),1)</f>
        <v>—</v>
      </c>
      <c r="T8" s="74">
        <f t="shared" si="2"/>
        <v>1</v>
      </c>
      <c r="U8" s="69">
        <f t="shared" si="3"/>
        <v>2233</v>
      </c>
      <c r="V8" s="57">
        <f t="shared" si="4"/>
        <v>7399.666666666667</v>
      </c>
    </row>
    <row r="9" spans="1:22" ht="15" customHeight="1" x14ac:dyDescent="0.35">
      <c r="A9" s="64">
        <v>5</v>
      </c>
      <c r="B9" s="25" t="s">
        <v>130</v>
      </c>
      <c r="C9" s="25">
        <v>5</v>
      </c>
      <c r="D9" s="52" t="str">
        <f>VLOOKUP(B9,rep_roster!$A:$B,2,0)</f>
        <v>Marcus Williams</v>
      </c>
      <c r="E9" s="61" t="str">
        <f>VLOOKUP(B9,rep_roster!$A:$C,3,0)</f>
        <v>SDR</v>
      </c>
      <c r="F9" s="61" t="str">
        <f>VLOOKUP(B9,rep_roster!$A:$D,4,0)</f>
        <v>Enterprise</v>
      </c>
      <c r="G9" s="61" t="str">
        <f>INDEX({"Jan","Feb","Mar","Apr","May","Jun","Jul","Aug","Sep","Oct","Nov","Dec"},C9)</f>
        <v>May</v>
      </c>
      <c r="H9" s="64">
        <v>2025</v>
      </c>
      <c r="I9" s="53">
        <f>IFERROR(VLOOKUP(E9&amp;"_"&amp;F9,plan_catalog!$A:$D,4,0)/12,0)</f>
        <v>5166.666666666667</v>
      </c>
      <c r="J9" s="39">
        <v>8</v>
      </c>
      <c r="K9" s="39">
        <v>8</v>
      </c>
      <c r="L9" s="62">
        <f t="shared" si="0"/>
        <v>1</v>
      </c>
      <c r="M9" s="52" t="str">
        <f>IFERROR(VLOOKUP(B9,rep_roster!$A:$L,12,0),E9&amp;"_"&amp;F9)</f>
        <v>SDR_Enterprise</v>
      </c>
      <c r="N9" s="65">
        <f>IFERROR(VLOOKUP(M9,plan_catalog!$A:$G,7,0),0)</f>
        <v>319</v>
      </c>
      <c r="O9" s="53">
        <f t="shared" si="1"/>
        <v>2552</v>
      </c>
      <c r="P9" s="66">
        <f>IFERROR(VLOOKUP(M9,plan_catalog!$A:$I,9,0),0)</f>
        <v>1.1000000000000001</v>
      </c>
      <c r="Q9" s="67">
        <f>IFERROR(VLOOKUP(M9,plan_catalog!$A:$J,10,0),1)</f>
        <v>1.3</v>
      </c>
      <c r="R9" s="66" t="str">
        <f>IFERROR(VLOOKUP(M9,plan_catalog!$A:$K,11,0),0)</f>
        <v>—</v>
      </c>
      <c r="S9" s="67" t="str">
        <f>IFERROR(VLOOKUP(M9,plan_catalog!$A:$L,12,0),1)</f>
        <v>—</v>
      </c>
      <c r="T9" s="68">
        <f t="shared" si="2"/>
        <v>1</v>
      </c>
      <c r="U9" s="69">
        <f t="shared" si="3"/>
        <v>2552</v>
      </c>
      <c r="V9" s="57">
        <f t="shared" si="4"/>
        <v>7718.666666666667</v>
      </c>
    </row>
    <row r="10" spans="1:22" ht="15" customHeight="1" x14ac:dyDescent="0.35">
      <c r="A10" s="70">
        <v>6</v>
      </c>
      <c r="B10" s="22" t="s">
        <v>130</v>
      </c>
      <c r="C10" s="22">
        <v>6</v>
      </c>
      <c r="D10" s="49" t="str">
        <f>VLOOKUP(B10,rep_roster!$A:$B,2,0)</f>
        <v>Marcus Williams</v>
      </c>
      <c r="E10" s="58" t="str">
        <f>VLOOKUP(B10,rep_roster!$A:$C,3,0)</f>
        <v>SDR</v>
      </c>
      <c r="F10" s="58" t="str">
        <f>VLOOKUP(B10,rep_roster!$A:$D,4,0)</f>
        <v>Enterprise</v>
      </c>
      <c r="G10" s="58" t="str">
        <f>INDEX({"Jan","Feb","Mar","Apr","May","Jun","Jul","Aug","Sep","Oct","Nov","Dec"},C10)</f>
        <v>Jun</v>
      </c>
      <c r="H10" s="70">
        <v>2025</v>
      </c>
      <c r="I10" s="50">
        <f>IFERROR(VLOOKUP(E10&amp;"_"&amp;F10,plan_catalog!$A:$D,4,0)/12,0)</f>
        <v>5166.666666666667</v>
      </c>
      <c r="J10" s="33">
        <v>8</v>
      </c>
      <c r="K10" s="33">
        <v>7</v>
      </c>
      <c r="L10" s="59">
        <f t="shared" si="0"/>
        <v>0.875</v>
      </c>
      <c r="M10" s="49" t="str">
        <f>IFERROR(VLOOKUP(B10,rep_roster!$A:$L,12,0),E10&amp;"_"&amp;F10)</f>
        <v>SDR_Enterprise</v>
      </c>
      <c r="N10" s="71">
        <f>IFERROR(VLOOKUP(M10,plan_catalog!$A:$G,7,0),0)</f>
        <v>319</v>
      </c>
      <c r="O10" s="50">
        <f t="shared" si="1"/>
        <v>2233</v>
      </c>
      <c r="P10" s="72">
        <f>IFERROR(VLOOKUP(M10,plan_catalog!$A:$I,9,0),0)</f>
        <v>1.1000000000000001</v>
      </c>
      <c r="Q10" s="73">
        <f>IFERROR(VLOOKUP(M10,plan_catalog!$A:$J,10,0),1)</f>
        <v>1.3</v>
      </c>
      <c r="R10" s="72" t="str">
        <f>IFERROR(VLOOKUP(M10,plan_catalog!$A:$K,11,0),0)</f>
        <v>—</v>
      </c>
      <c r="S10" s="73" t="str">
        <f>IFERROR(VLOOKUP(M10,plan_catalog!$A:$L,12,0),1)</f>
        <v>—</v>
      </c>
      <c r="T10" s="74">
        <f t="shared" si="2"/>
        <v>1</v>
      </c>
      <c r="U10" s="69">
        <f t="shared" si="3"/>
        <v>2233</v>
      </c>
      <c r="V10" s="57">
        <f t="shared" si="4"/>
        <v>7399.666666666667</v>
      </c>
    </row>
    <row r="11" spans="1:22" ht="15" customHeight="1" x14ac:dyDescent="0.35">
      <c r="A11" s="64">
        <v>7</v>
      </c>
      <c r="B11" s="25" t="s">
        <v>130</v>
      </c>
      <c r="C11" s="25">
        <v>7</v>
      </c>
      <c r="D11" s="52" t="str">
        <f>VLOOKUP(B11,rep_roster!$A:$B,2,0)</f>
        <v>Marcus Williams</v>
      </c>
      <c r="E11" s="61" t="str">
        <f>VLOOKUP(B11,rep_roster!$A:$C,3,0)</f>
        <v>SDR</v>
      </c>
      <c r="F11" s="61" t="str">
        <f>VLOOKUP(B11,rep_roster!$A:$D,4,0)</f>
        <v>Enterprise</v>
      </c>
      <c r="G11" s="61" t="str">
        <f>INDEX({"Jan","Feb","Mar","Apr","May","Jun","Jul","Aug","Sep","Oct","Nov","Dec"},C11)</f>
        <v>Jul</v>
      </c>
      <c r="H11" s="64">
        <v>2025</v>
      </c>
      <c r="I11" s="53">
        <f>IFERROR(VLOOKUP(E11&amp;"_"&amp;F11,plan_catalog!$A:$D,4,0)/12,0)</f>
        <v>5166.666666666667</v>
      </c>
      <c r="J11" s="39">
        <v>8</v>
      </c>
      <c r="K11" s="39">
        <v>5</v>
      </c>
      <c r="L11" s="62">
        <f t="shared" si="0"/>
        <v>0.625</v>
      </c>
      <c r="M11" s="52" t="str">
        <f>IFERROR(VLOOKUP(B11,rep_roster!$A:$L,12,0),E11&amp;"_"&amp;F11)</f>
        <v>SDR_Enterprise</v>
      </c>
      <c r="N11" s="65">
        <f>IFERROR(VLOOKUP(M11,plan_catalog!$A:$G,7,0),0)</f>
        <v>319</v>
      </c>
      <c r="O11" s="53">
        <f t="shared" si="1"/>
        <v>1595</v>
      </c>
      <c r="P11" s="66">
        <f>IFERROR(VLOOKUP(M11,plan_catalog!$A:$I,9,0),0)</f>
        <v>1.1000000000000001</v>
      </c>
      <c r="Q11" s="67">
        <f>IFERROR(VLOOKUP(M11,plan_catalog!$A:$J,10,0),1)</f>
        <v>1.3</v>
      </c>
      <c r="R11" s="66" t="str">
        <f>IFERROR(VLOOKUP(M11,plan_catalog!$A:$K,11,0),0)</f>
        <v>—</v>
      </c>
      <c r="S11" s="67" t="str">
        <f>IFERROR(VLOOKUP(M11,plan_catalog!$A:$L,12,0),1)</f>
        <v>—</v>
      </c>
      <c r="T11" s="68">
        <f t="shared" si="2"/>
        <v>1</v>
      </c>
      <c r="U11" s="69">
        <f t="shared" si="3"/>
        <v>1595</v>
      </c>
      <c r="V11" s="57">
        <f t="shared" si="4"/>
        <v>6761.666666666667</v>
      </c>
    </row>
    <row r="12" spans="1:22" ht="15" customHeight="1" x14ac:dyDescent="0.35">
      <c r="A12" s="70">
        <v>8</v>
      </c>
      <c r="B12" s="22" t="s">
        <v>130</v>
      </c>
      <c r="C12" s="22">
        <v>8</v>
      </c>
      <c r="D12" s="49" t="str">
        <f>VLOOKUP(B12,rep_roster!$A:$B,2,0)</f>
        <v>Marcus Williams</v>
      </c>
      <c r="E12" s="58" t="str">
        <f>VLOOKUP(B12,rep_roster!$A:$C,3,0)</f>
        <v>SDR</v>
      </c>
      <c r="F12" s="58" t="str">
        <f>VLOOKUP(B12,rep_roster!$A:$D,4,0)</f>
        <v>Enterprise</v>
      </c>
      <c r="G12" s="58" t="str">
        <f>INDEX({"Jan","Feb","Mar","Apr","May","Jun","Jul","Aug","Sep","Oct","Nov","Dec"},C12)</f>
        <v>Aug</v>
      </c>
      <c r="H12" s="70">
        <v>2025</v>
      </c>
      <c r="I12" s="50">
        <f>IFERROR(VLOOKUP(E12&amp;"_"&amp;F12,plan_catalog!$A:$D,4,0)/12,0)</f>
        <v>5166.666666666667</v>
      </c>
      <c r="J12" s="33">
        <v>8</v>
      </c>
      <c r="K12" s="33">
        <v>4</v>
      </c>
      <c r="L12" s="59">
        <f t="shared" si="0"/>
        <v>0.5</v>
      </c>
      <c r="M12" s="49" t="str">
        <f>IFERROR(VLOOKUP(B12,rep_roster!$A:$L,12,0),E12&amp;"_"&amp;F12)</f>
        <v>SDR_Enterprise</v>
      </c>
      <c r="N12" s="71">
        <f>IFERROR(VLOOKUP(M12,plan_catalog!$A:$G,7,0),0)</f>
        <v>319</v>
      </c>
      <c r="O12" s="50">
        <f t="shared" si="1"/>
        <v>1276</v>
      </c>
      <c r="P12" s="72">
        <f>IFERROR(VLOOKUP(M12,plan_catalog!$A:$I,9,0),0)</f>
        <v>1.1000000000000001</v>
      </c>
      <c r="Q12" s="73">
        <f>IFERROR(VLOOKUP(M12,plan_catalog!$A:$J,10,0),1)</f>
        <v>1.3</v>
      </c>
      <c r="R12" s="72" t="str">
        <f>IFERROR(VLOOKUP(M12,plan_catalog!$A:$K,11,0),0)</f>
        <v>—</v>
      </c>
      <c r="S12" s="73" t="str">
        <f>IFERROR(VLOOKUP(M12,plan_catalog!$A:$L,12,0),1)</f>
        <v>—</v>
      </c>
      <c r="T12" s="74">
        <f t="shared" si="2"/>
        <v>1</v>
      </c>
      <c r="U12" s="69">
        <f t="shared" si="3"/>
        <v>1276</v>
      </c>
      <c r="V12" s="57">
        <f t="shared" si="4"/>
        <v>6442.666666666667</v>
      </c>
    </row>
    <row r="13" spans="1:22" ht="15" customHeight="1" x14ac:dyDescent="0.35">
      <c r="A13" s="64">
        <v>9</v>
      </c>
      <c r="B13" s="25" t="s">
        <v>130</v>
      </c>
      <c r="C13" s="25">
        <v>9</v>
      </c>
      <c r="D13" s="52" t="str">
        <f>VLOOKUP(B13,rep_roster!$A:$B,2,0)</f>
        <v>Marcus Williams</v>
      </c>
      <c r="E13" s="61" t="str">
        <f>VLOOKUP(B13,rep_roster!$A:$C,3,0)</f>
        <v>SDR</v>
      </c>
      <c r="F13" s="61" t="str">
        <f>VLOOKUP(B13,rep_roster!$A:$D,4,0)</f>
        <v>Enterprise</v>
      </c>
      <c r="G13" s="61" t="str">
        <f>INDEX({"Jan","Feb","Mar","Apr","May","Jun","Jul","Aug","Sep","Oct","Nov","Dec"},C13)</f>
        <v>Sep</v>
      </c>
      <c r="H13" s="64">
        <v>2025</v>
      </c>
      <c r="I13" s="53">
        <f>IFERROR(VLOOKUP(E13&amp;"_"&amp;F13,plan_catalog!$A:$D,4,0)/12,0)</f>
        <v>5166.666666666667</v>
      </c>
      <c r="J13" s="39">
        <v>8</v>
      </c>
      <c r="K13" s="39">
        <v>6</v>
      </c>
      <c r="L13" s="62">
        <f t="shared" si="0"/>
        <v>0.75</v>
      </c>
      <c r="M13" s="52" t="str">
        <f>IFERROR(VLOOKUP(B13,rep_roster!$A:$L,12,0),E13&amp;"_"&amp;F13)</f>
        <v>SDR_Enterprise</v>
      </c>
      <c r="N13" s="65">
        <f>IFERROR(VLOOKUP(M13,plan_catalog!$A:$G,7,0),0)</f>
        <v>319</v>
      </c>
      <c r="O13" s="53">
        <f t="shared" si="1"/>
        <v>1914</v>
      </c>
      <c r="P13" s="66">
        <f>IFERROR(VLOOKUP(M13,plan_catalog!$A:$I,9,0),0)</f>
        <v>1.1000000000000001</v>
      </c>
      <c r="Q13" s="67">
        <f>IFERROR(VLOOKUP(M13,plan_catalog!$A:$J,10,0),1)</f>
        <v>1.3</v>
      </c>
      <c r="R13" s="66" t="str">
        <f>IFERROR(VLOOKUP(M13,plan_catalog!$A:$K,11,0),0)</f>
        <v>—</v>
      </c>
      <c r="S13" s="67" t="str">
        <f>IFERROR(VLOOKUP(M13,plan_catalog!$A:$L,12,0),1)</f>
        <v>—</v>
      </c>
      <c r="T13" s="68">
        <f t="shared" si="2"/>
        <v>1</v>
      </c>
      <c r="U13" s="69">
        <f t="shared" si="3"/>
        <v>1914</v>
      </c>
      <c r="V13" s="57">
        <f t="shared" si="4"/>
        <v>7080.666666666667</v>
      </c>
    </row>
    <row r="14" spans="1:22" ht="15" customHeight="1" x14ac:dyDescent="0.35">
      <c r="A14" s="70">
        <v>10</v>
      </c>
      <c r="B14" s="22" t="s">
        <v>130</v>
      </c>
      <c r="C14" s="22">
        <v>10</v>
      </c>
      <c r="D14" s="49" t="str">
        <f>VLOOKUP(B14,rep_roster!$A:$B,2,0)</f>
        <v>Marcus Williams</v>
      </c>
      <c r="E14" s="58" t="str">
        <f>VLOOKUP(B14,rep_roster!$A:$C,3,0)</f>
        <v>SDR</v>
      </c>
      <c r="F14" s="58" t="str">
        <f>VLOOKUP(B14,rep_roster!$A:$D,4,0)</f>
        <v>Enterprise</v>
      </c>
      <c r="G14" s="58" t="str">
        <f>INDEX({"Jan","Feb","Mar","Apr","May","Jun","Jul","Aug","Sep","Oct","Nov","Dec"},C14)</f>
        <v>Oct</v>
      </c>
      <c r="H14" s="70">
        <v>2025</v>
      </c>
      <c r="I14" s="50">
        <f>IFERROR(VLOOKUP(E14&amp;"_"&amp;F14,plan_catalog!$A:$D,4,0)/12,0)</f>
        <v>5166.666666666667</v>
      </c>
      <c r="J14" s="33">
        <v>8</v>
      </c>
      <c r="K14" s="33">
        <v>5</v>
      </c>
      <c r="L14" s="59">
        <f t="shared" si="0"/>
        <v>0.625</v>
      </c>
      <c r="M14" s="49" t="str">
        <f>IFERROR(VLOOKUP(B14,rep_roster!$A:$L,12,0),E14&amp;"_"&amp;F14)</f>
        <v>SDR_Enterprise</v>
      </c>
      <c r="N14" s="71">
        <f>IFERROR(VLOOKUP(M14,plan_catalog!$A:$G,7,0),0)</f>
        <v>319</v>
      </c>
      <c r="O14" s="50">
        <f t="shared" si="1"/>
        <v>1595</v>
      </c>
      <c r="P14" s="72">
        <f>IFERROR(VLOOKUP(M14,plan_catalog!$A:$I,9,0),0)</f>
        <v>1.1000000000000001</v>
      </c>
      <c r="Q14" s="73">
        <f>IFERROR(VLOOKUP(M14,plan_catalog!$A:$J,10,0),1)</f>
        <v>1.3</v>
      </c>
      <c r="R14" s="72" t="str">
        <f>IFERROR(VLOOKUP(M14,plan_catalog!$A:$K,11,0),0)</f>
        <v>—</v>
      </c>
      <c r="S14" s="73" t="str">
        <f>IFERROR(VLOOKUP(M14,plan_catalog!$A:$L,12,0),1)</f>
        <v>—</v>
      </c>
      <c r="T14" s="74">
        <f t="shared" si="2"/>
        <v>1</v>
      </c>
      <c r="U14" s="69">
        <f t="shared" si="3"/>
        <v>1595</v>
      </c>
      <c r="V14" s="57">
        <f t="shared" si="4"/>
        <v>6761.666666666667</v>
      </c>
    </row>
    <row r="15" spans="1:22" ht="15" customHeight="1" x14ac:dyDescent="0.35">
      <c r="A15" s="64">
        <v>11</v>
      </c>
      <c r="B15" s="25" t="s">
        <v>130</v>
      </c>
      <c r="C15" s="25">
        <v>11</v>
      </c>
      <c r="D15" s="52" t="str">
        <f>VLOOKUP(B15,rep_roster!$A:$B,2,0)</f>
        <v>Marcus Williams</v>
      </c>
      <c r="E15" s="61" t="str">
        <f>VLOOKUP(B15,rep_roster!$A:$C,3,0)</f>
        <v>SDR</v>
      </c>
      <c r="F15" s="61" t="str">
        <f>VLOOKUP(B15,rep_roster!$A:$D,4,0)</f>
        <v>Enterprise</v>
      </c>
      <c r="G15" s="61" t="str">
        <f>INDEX({"Jan","Feb","Mar","Apr","May","Jun","Jul","Aug","Sep","Oct","Nov","Dec"},C15)</f>
        <v>Nov</v>
      </c>
      <c r="H15" s="64">
        <v>2025</v>
      </c>
      <c r="I15" s="53">
        <f>IFERROR(VLOOKUP(E15&amp;"_"&amp;F15,plan_catalog!$A:$D,4,0)/12,0)</f>
        <v>5166.666666666667</v>
      </c>
      <c r="J15" s="39">
        <v>8</v>
      </c>
      <c r="K15" s="39">
        <v>6</v>
      </c>
      <c r="L15" s="62">
        <f t="shared" si="0"/>
        <v>0.75</v>
      </c>
      <c r="M15" s="52" t="str">
        <f>IFERROR(VLOOKUP(B15,rep_roster!$A:$L,12,0),E15&amp;"_"&amp;F15)</f>
        <v>SDR_Enterprise</v>
      </c>
      <c r="N15" s="65">
        <f>IFERROR(VLOOKUP(M15,plan_catalog!$A:$G,7,0),0)</f>
        <v>319</v>
      </c>
      <c r="O15" s="53">
        <f t="shared" si="1"/>
        <v>1914</v>
      </c>
      <c r="P15" s="66">
        <f>IFERROR(VLOOKUP(M15,plan_catalog!$A:$I,9,0),0)</f>
        <v>1.1000000000000001</v>
      </c>
      <c r="Q15" s="67">
        <f>IFERROR(VLOOKUP(M15,plan_catalog!$A:$J,10,0),1)</f>
        <v>1.3</v>
      </c>
      <c r="R15" s="66" t="str">
        <f>IFERROR(VLOOKUP(M15,plan_catalog!$A:$K,11,0),0)</f>
        <v>—</v>
      </c>
      <c r="S15" s="67" t="str">
        <f>IFERROR(VLOOKUP(M15,plan_catalog!$A:$L,12,0),1)</f>
        <v>—</v>
      </c>
      <c r="T15" s="68">
        <f t="shared" si="2"/>
        <v>1</v>
      </c>
      <c r="U15" s="69">
        <f t="shared" si="3"/>
        <v>1914</v>
      </c>
      <c r="V15" s="57">
        <f t="shared" si="4"/>
        <v>7080.666666666667</v>
      </c>
    </row>
    <row r="16" spans="1:22" ht="15" customHeight="1" x14ac:dyDescent="0.35">
      <c r="A16" s="70">
        <v>12</v>
      </c>
      <c r="B16" s="22" t="s">
        <v>130</v>
      </c>
      <c r="C16" s="22">
        <v>12</v>
      </c>
      <c r="D16" s="49" t="str">
        <f>VLOOKUP(B16,rep_roster!$A:$B,2,0)</f>
        <v>Marcus Williams</v>
      </c>
      <c r="E16" s="58" t="str">
        <f>VLOOKUP(B16,rep_roster!$A:$C,3,0)</f>
        <v>SDR</v>
      </c>
      <c r="F16" s="58" t="str">
        <f>VLOOKUP(B16,rep_roster!$A:$D,4,0)</f>
        <v>Enterprise</v>
      </c>
      <c r="G16" s="58" t="str">
        <f>INDEX({"Jan","Feb","Mar","Apr","May","Jun","Jul","Aug","Sep","Oct","Nov","Dec"},C16)</f>
        <v>Dec</v>
      </c>
      <c r="H16" s="70">
        <v>2025</v>
      </c>
      <c r="I16" s="50">
        <f>IFERROR(VLOOKUP(E16&amp;"_"&amp;F16,plan_catalog!$A:$D,4,0)/12,0)</f>
        <v>5166.666666666667</v>
      </c>
      <c r="J16" s="33">
        <v>8</v>
      </c>
      <c r="K16" s="33">
        <v>7</v>
      </c>
      <c r="L16" s="59">
        <f t="shared" si="0"/>
        <v>0.875</v>
      </c>
      <c r="M16" s="49" t="str">
        <f>IFERROR(VLOOKUP(B16,rep_roster!$A:$L,12,0),E16&amp;"_"&amp;F16)</f>
        <v>SDR_Enterprise</v>
      </c>
      <c r="N16" s="71">
        <f>IFERROR(VLOOKUP(M16,plan_catalog!$A:$G,7,0),0)</f>
        <v>319</v>
      </c>
      <c r="O16" s="50">
        <f t="shared" si="1"/>
        <v>2233</v>
      </c>
      <c r="P16" s="72">
        <f>IFERROR(VLOOKUP(M16,plan_catalog!$A:$I,9,0),0)</f>
        <v>1.1000000000000001</v>
      </c>
      <c r="Q16" s="73">
        <f>IFERROR(VLOOKUP(M16,plan_catalog!$A:$J,10,0),1)</f>
        <v>1.3</v>
      </c>
      <c r="R16" s="72" t="str">
        <f>IFERROR(VLOOKUP(M16,plan_catalog!$A:$K,11,0),0)</f>
        <v>—</v>
      </c>
      <c r="S16" s="73" t="str">
        <f>IFERROR(VLOOKUP(M16,plan_catalog!$A:$L,12,0),1)</f>
        <v>—</v>
      </c>
      <c r="T16" s="74">
        <f t="shared" si="2"/>
        <v>1</v>
      </c>
      <c r="U16" s="69">
        <f t="shared" si="3"/>
        <v>2233</v>
      </c>
      <c r="V16" s="57">
        <f t="shared" si="4"/>
        <v>7399.666666666667</v>
      </c>
    </row>
    <row r="17" spans="1:22" ht="15" customHeight="1" x14ac:dyDescent="0.35">
      <c r="A17" s="64">
        <v>13</v>
      </c>
      <c r="B17" s="25" t="s">
        <v>134</v>
      </c>
      <c r="C17" s="25">
        <v>1</v>
      </c>
      <c r="D17" s="52" t="str">
        <f>VLOOKUP(B17,rep_roster!$A:$B,2,0)</f>
        <v>James Harrington</v>
      </c>
      <c r="E17" s="61" t="str">
        <f>VLOOKUP(B17,rep_roster!$A:$C,3,0)</f>
        <v>AE</v>
      </c>
      <c r="F17" s="61" t="str">
        <f>VLOOKUP(B17,rep_roster!$A:$D,4,0)</f>
        <v>Enterprise</v>
      </c>
      <c r="G17" s="61" t="str">
        <f>INDEX({"Jan","Feb","Mar","Apr","May","Jun","Jul","Aug","Sep","Oct","Nov","Dec"},C17)</f>
        <v>Jan</v>
      </c>
      <c r="H17" s="64">
        <v>2025</v>
      </c>
      <c r="I17" s="53">
        <f>IFERROR(VLOOKUP(E17&amp;"_"&amp;F17,plan_catalog!$A:$D,4,0)/12,0)</f>
        <v>7916.666666666667</v>
      </c>
      <c r="J17" s="38">
        <v>75000</v>
      </c>
      <c r="K17" s="38">
        <v>95000</v>
      </c>
      <c r="L17" s="62">
        <f t="shared" si="0"/>
        <v>1.2666666666666666</v>
      </c>
      <c r="M17" s="52" t="str">
        <f>IFERROR(VLOOKUP(B17,rep_roster!$A:$L,12,0),E17&amp;"_"&amp;F17)</f>
        <v>AE_Enterprise</v>
      </c>
      <c r="N17" s="66">
        <f>IFERROR(VLOOKUP(M17,plan_catalog!$A:$G,7,0),0)</f>
        <v>0.1</v>
      </c>
      <c r="O17" s="53">
        <f t="shared" si="1"/>
        <v>9500</v>
      </c>
      <c r="P17" s="66">
        <f>IFERROR(VLOOKUP(M17,plan_catalog!$A:$I,9,0),0)</f>
        <v>1</v>
      </c>
      <c r="Q17" s="67">
        <f>IFERROR(VLOOKUP(M17,plan_catalog!$A:$J,10,0),1)</f>
        <v>1.25</v>
      </c>
      <c r="R17" s="66">
        <f>IFERROR(VLOOKUP(M17,plan_catalog!$A:$K,11,0),0)</f>
        <v>1.2</v>
      </c>
      <c r="S17" s="67">
        <f>IFERROR(VLOOKUP(M17,plan_catalog!$A:$L,12,0),1)</f>
        <v>1.5</v>
      </c>
      <c r="T17" s="68">
        <f t="shared" si="2"/>
        <v>1.5</v>
      </c>
      <c r="U17" s="69">
        <f t="shared" si="3"/>
        <v>14250</v>
      </c>
      <c r="V17" s="57">
        <f t="shared" si="4"/>
        <v>22166.666666666668</v>
      </c>
    </row>
    <row r="18" spans="1:22" ht="15" customHeight="1" x14ac:dyDescent="0.35">
      <c r="A18" s="70">
        <v>14</v>
      </c>
      <c r="B18" s="22" t="s">
        <v>134</v>
      </c>
      <c r="C18" s="22">
        <v>2</v>
      </c>
      <c r="D18" s="49" t="str">
        <f>VLOOKUP(B18,rep_roster!$A:$B,2,0)</f>
        <v>James Harrington</v>
      </c>
      <c r="E18" s="58" t="str">
        <f>VLOOKUP(B18,rep_roster!$A:$C,3,0)</f>
        <v>AE</v>
      </c>
      <c r="F18" s="58" t="str">
        <f>VLOOKUP(B18,rep_roster!$A:$D,4,0)</f>
        <v>Enterprise</v>
      </c>
      <c r="G18" s="58" t="str">
        <f>INDEX({"Jan","Feb","Mar","Apr","May","Jun","Jul","Aug","Sep","Oct","Nov","Dec"},C18)</f>
        <v>Feb</v>
      </c>
      <c r="H18" s="70">
        <v>2025</v>
      </c>
      <c r="I18" s="50">
        <f>IFERROR(VLOOKUP(E18&amp;"_"&amp;F18,plan_catalog!$A:$D,4,0)/12,0)</f>
        <v>7916.666666666667</v>
      </c>
      <c r="J18" s="32">
        <v>75000</v>
      </c>
      <c r="K18" s="32">
        <v>88000</v>
      </c>
      <c r="L18" s="59">
        <f t="shared" si="0"/>
        <v>1.1733333333333333</v>
      </c>
      <c r="M18" s="49" t="str">
        <f>IFERROR(VLOOKUP(B18,rep_roster!$A:$L,12,0),E18&amp;"_"&amp;F18)</f>
        <v>AE_Enterprise</v>
      </c>
      <c r="N18" s="72">
        <f>IFERROR(VLOOKUP(M18,plan_catalog!$A:$G,7,0),0)</f>
        <v>0.1</v>
      </c>
      <c r="O18" s="50">
        <f t="shared" si="1"/>
        <v>8800</v>
      </c>
      <c r="P18" s="72">
        <f>IFERROR(VLOOKUP(M18,plan_catalog!$A:$I,9,0),0)</f>
        <v>1</v>
      </c>
      <c r="Q18" s="73">
        <f>IFERROR(VLOOKUP(M18,plan_catalog!$A:$J,10,0),1)</f>
        <v>1.25</v>
      </c>
      <c r="R18" s="72">
        <f>IFERROR(VLOOKUP(M18,plan_catalog!$A:$K,11,0),0)</f>
        <v>1.2</v>
      </c>
      <c r="S18" s="73">
        <f>IFERROR(VLOOKUP(M18,plan_catalog!$A:$L,12,0),1)</f>
        <v>1.5</v>
      </c>
      <c r="T18" s="74">
        <f>IF(AND(R18&gt;0,L18&gt;=R18),S18,IF(AND(P18&gt;0,L18&gt;=P18),Q18,1))</f>
        <v>1.25</v>
      </c>
      <c r="U18" s="69">
        <f t="shared" si="3"/>
        <v>11000</v>
      </c>
      <c r="V18" s="57">
        <f t="shared" si="4"/>
        <v>18916.666666666668</v>
      </c>
    </row>
    <row r="19" spans="1:22" ht="15" customHeight="1" x14ac:dyDescent="0.35">
      <c r="A19" s="64">
        <v>15</v>
      </c>
      <c r="B19" s="25" t="s">
        <v>134</v>
      </c>
      <c r="C19" s="25">
        <v>3</v>
      </c>
      <c r="D19" s="52" t="str">
        <f>VLOOKUP(B19,rep_roster!$A:$B,2,0)</f>
        <v>James Harrington</v>
      </c>
      <c r="E19" s="61" t="str">
        <f>VLOOKUP(B19,rep_roster!$A:$C,3,0)</f>
        <v>AE</v>
      </c>
      <c r="F19" s="61" t="str">
        <f>VLOOKUP(B19,rep_roster!$A:$D,4,0)</f>
        <v>Enterprise</v>
      </c>
      <c r="G19" s="61" t="str">
        <f>INDEX({"Jan","Feb","Mar","Apr","May","Jun","Jul","Aug","Sep","Oct","Nov","Dec"},C19)</f>
        <v>Mar</v>
      </c>
      <c r="H19" s="64">
        <v>2025</v>
      </c>
      <c r="I19" s="53">
        <f>IFERROR(VLOOKUP(E19&amp;"_"&amp;F19,plan_catalog!$A:$D,4,0)/12,0)</f>
        <v>7916.666666666667</v>
      </c>
      <c r="J19" s="38">
        <v>75000</v>
      </c>
      <c r="K19" s="38">
        <v>105000</v>
      </c>
      <c r="L19" s="62">
        <f t="shared" si="0"/>
        <v>1.4</v>
      </c>
      <c r="M19" s="52" t="str">
        <f>IFERROR(VLOOKUP(B19,rep_roster!$A:$L,12,0),E19&amp;"_"&amp;F19)</f>
        <v>AE_Enterprise</v>
      </c>
      <c r="N19" s="66">
        <f>IFERROR(VLOOKUP(M19,plan_catalog!$A:$G,7,0),0)</f>
        <v>0.1</v>
      </c>
      <c r="O19" s="53">
        <f t="shared" si="1"/>
        <v>10500</v>
      </c>
      <c r="P19" s="66">
        <f>IFERROR(VLOOKUP(M19,plan_catalog!$A:$I,9,0),0)</f>
        <v>1</v>
      </c>
      <c r="Q19" s="67">
        <f>IFERROR(VLOOKUP(M19,plan_catalog!$A:$J,10,0),1)</f>
        <v>1.25</v>
      </c>
      <c r="R19" s="66">
        <f>IFERROR(VLOOKUP(M19,plan_catalog!$A:$K,11,0),0)</f>
        <v>1.2</v>
      </c>
      <c r="S19" s="67">
        <f>IFERROR(VLOOKUP(M19,plan_catalog!$A:$L,12,0),1)</f>
        <v>1.5</v>
      </c>
      <c r="T19" s="68">
        <f t="shared" si="2"/>
        <v>1.5</v>
      </c>
      <c r="U19" s="69">
        <f t="shared" si="3"/>
        <v>15750</v>
      </c>
      <c r="V19" s="57">
        <f t="shared" si="4"/>
        <v>23666.666666666668</v>
      </c>
    </row>
    <row r="20" spans="1:22" ht="15" customHeight="1" x14ac:dyDescent="0.35">
      <c r="A20" s="70">
        <v>16</v>
      </c>
      <c r="B20" s="22" t="s">
        <v>134</v>
      </c>
      <c r="C20" s="22">
        <v>4</v>
      </c>
      <c r="D20" s="49" t="str">
        <f>VLOOKUP(B20,rep_roster!$A:$B,2,0)</f>
        <v>James Harrington</v>
      </c>
      <c r="E20" s="58" t="str">
        <f>VLOOKUP(B20,rep_roster!$A:$C,3,0)</f>
        <v>AE</v>
      </c>
      <c r="F20" s="58" t="str">
        <f>VLOOKUP(B20,rep_roster!$A:$D,4,0)</f>
        <v>Enterprise</v>
      </c>
      <c r="G20" s="58" t="str">
        <f>INDEX({"Jan","Feb","Mar","Apr","May","Jun","Jul","Aug","Sep","Oct","Nov","Dec"},C20)</f>
        <v>Apr</v>
      </c>
      <c r="H20" s="70">
        <v>2025</v>
      </c>
      <c r="I20" s="50">
        <f>IFERROR(VLOOKUP(E20&amp;"_"&amp;F20,plan_catalog!$A:$D,4,0)/12,0)</f>
        <v>7916.666666666667</v>
      </c>
      <c r="J20" s="32">
        <v>75000</v>
      </c>
      <c r="K20" s="32">
        <v>82000</v>
      </c>
      <c r="L20" s="59">
        <f t="shared" si="0"/>
        <v>1.0933333333333333</v>
      </c>
      <c r="M20" s="49" t="str">
        <f>IFERROR(VLOOKUP(B20,rep_roster!$A:$L,12,0),E20&amp;"_"&amp;F20)</f>
        <v>AE_Enterprise</v>
      </c>
      <c r="N20" s="72">
        <f>IFERROR(VLOOKUP(M20,plan_catalog!$A:$G,7,0),0)</f>
        <v>0.1</v>
      </c>
      <c r="O20" s="50">
        <f t="shared" si="1"/>
        <v>8200</v>
      </c>
      <c r="P20" s="72">
        <f>IFERROR(VLOOKUP(M20,plan_catalog!$A:$I,9,0),0)</f>
        <v>1</v>
      </c>
      <c r="Q20" s="73">
        <f>IFERROR(VLOOKUP(M20,plan_catalog!$A:$J,10,0),1)</f>
        <v>1.25</v>
      </c>
      <c r="R20" s="72">
        <f>IFERROR(VLOOKUP(M20,plan_catalog!$A:$K,11,0),0)</f>
        <v>1.2</v>
      </c>
      <c r="S20" s="73">
        <f>IFERROR(VLOOKUP(M20,plan_catalog!$A:$L,12,0),1)</f>
        <v>1.5</v>
      </c>
      <c r="T20" s="74">
        <f t="shared" si="2"/>
        <v>1.25</v>
      </c>
      <c r="U20" s="69">
        <f t="shared" si="3"/>
        <v>10250</v>
      </c>
      <c r="V20" s="57">
        <f t="shared" si="4"/>
        <v>18166.666666666668</v>
      </c>
    </row>
    <row r="21" spans="1:22" ht="15" customHeight="1" x14ac:dyDescent="0.35">
      <c r="A21" s="64">
        <v>17</v>
      </c>
      <c r="B21" s="25" t="s">
        <v>134</v>
      </c>
      <c r="C21" s="25">
        <v>5</v>
      </c>
      <c r="D21" s="52" t="str">
        <f>VLOOKUP(B21,rep_roster!$A:$B,2,0)</f>
        <v>James Harrington</v>
      </c>
      <c r="E21" s="61" t="str">
        <f>VLOOKUP(B21,rep_roster!$A:$C,3,0)</f>
        <v>AE</v>
      </c>
      <c r="F21" s="61" t="str">
        <f>VLOOKUP(B21,rep_roster!$A:$D,4,0)</f>
        <v>Enterprise</v>
      </c>
      <c r="G21" s="61" t="str">
        <f>INDEX({"Jan","Feb","Mar","Apr","May","Jun","Jul","Aug","Sep","Oct","Nov","Dec"},C21)</f>
        <v>May</v>
      </c>
      <c r="H21" s="64">
        <v>2025</v>
      </c>
      <c r="I21" s="53">
        <f>IFERROR(VLOOKUP(E21&amp;"_"&amp;F21,plan_catalog!$A:$D,4,0)/12,0)</f>
        <v>7916.666666666667</v>
      </c>
      <c r="J21" s="38">
        <v>75000</v>
      </c>
      <c r="K21" s="38">
        <v>79000</v>
      </c>
      <c r="L21" s="62">
        <f t="shared" si="0"/>
        <v>1.0533333333333332</v>
      </c>
      <c r="M21" s="52" t="str">
        <f>IFERROR(VLOOKUP(B21,rep_roster!$A:$L,12,0),E21&amp;"_"&amp;F21)</f>
        <v>AE_Enterprise</v>
      </c>
      <c r="N21" s="66">
        <f>IFERROR(VLOOKUP(M21,plan_catalog!$A:$G,7,0),0)</f>
        <v>0.1</v>
      </c>
      <c r="O21" s="53">
        <f t="shared" si="1"/>
        <v>7900</v>
      </c>
      <c r="P21" s="66">
        <f>IFERROR(VLOOKUP(M21,plan_catalog!$A:$I,9,0),0)</f>
        <v>1</v>
      </c>
      <c r="Q21" s="67">
        <f>IFERROR(VLOOKUP(M21,plan_catalog!$A:$J,10,0),1)</f>
        <v>1.25</v>
      </c>
      <c r="R21" s="66">
        <f>IFERROR(VLOOKUP(M21,plan_catalog!$A:$K,11,0),0)</f>
        <v>1.2</v>
      </c>
      <c r="S21" s="67">
        <f>IFERROR(VLOOKUP(M21,plan_catalog!$A:$L,12,0),1)</f>
        <v>1.5</v>
      </c>
      <c r="T21" s="68">
        <f t="shared" si="2"/>
        <v>1.25</v>
      </c>
      <c r="U21" s="69">
        <f t="shared" si="3"/>
        <v>9875</v>
      </c>
      <c r="V21" s="57">
        <f t="shared" si="4"/>
        <v>17791.666666666668</v>
      </c>
    </row>
    <row r="22" spans="1:22" ht="15" customHeight="1" x14ac:dyDescent="0.35">
      <c r="A22" s="70">
        <v>18</v>
      </c>
      <c r="B22" s="22" t="s">
        <v>134</v>
      </c>
      <c r="C22" s="22">
        <v>6</v>
      </c>
      <c r="D22" s="49" t="str">
        <f>VLOOKUP(B22,rep_roster!$A:$B,2,0)</f>
        <v>James Harrington</v>
      </c>
      <c r="E22" s="58" t="str">
        <f>VLOOKUP(B22,rep_roster!$A:$C,3,0)</f>
        <v>AE</v>
      </c>
      <c r="F22" s="58" t="str">
        <f>VLOOKUP(B22,rep_roster!$A:$D,4,0)</f>
        <v>Enterprise</v>
      </c>
      <c r="G22" s="58" t="str">
        <f>INDEX({"Jan","Feb","Mar","Apr","May","Jun","Jul","Aug","Sep","Oct","Nov","Dec"},C22)</f>
        <v>Jun</v>
      </c>
      <c r="H22" s="70">
        <v>2025</v>
      </c>
      <c r="I22" s="50">
        <f>IFERROR(VLOOKUP(E22&amp;"_"&amp;F22,plan_catalog!$A:$D,4,0)/12,0)</f>
        <v>7916.666666666667</v>
      </c>
      <c r="J22" s="32">
        <v>75000</v>
      </c>
      <c r="K22" s="32">
        <v>86000</v>
      </c>
      <c r="L22" s="59">
        <f t="shared" si="0"/>
        <v>1.1466666666666667</v>
      </c>
      <c r="M22" s="49" t="str">
        <f>IFERROR(VLOOKUP(B22,rep_roster!$A:$L,12,0),E22&amp;"_"&amp;F22)</f>
        <v>AE_Enterprise</v>
      </c>
      <c r="N22" s="72">
        <f>IFERROR(VLOOKUP(M22,plan_catalog!$A:$G,7,0),0)</f>
        <v>0.1</v>
      </c>
      <c r="O22" s="50">
        <f t="shared" si="1"/>
        <v>8600</v>
      </c>
      <c r="P22" s="72">
        <f>IFERROR(VLOOKUP(M22,plan_catalog!$A:$I,9,0),0)</f>
        <v>1</v>
      </c>
      <c r="Q22" s="73">
        <f>IFERROR(VLOOKUP(M22,plan_catalog!$A:$J,10,0),1)</f>
        <v>1.25</v>
      </c>
      <c r="R22" s="72">
        <f>IFERROR(VLOOKUP(M22,plan_catalog!$A:$K,11,0),0)</f>
        <v>1.2</v>
      </c>
      <c r="S22" s="73">
        <f>IFERROR(VLOOKUP(M22,plan_catalog!$A:$L,12,0),1)</f>
        <v>1.5</v>
      </c>
      <c r="T22" s="74">
        <f t="shared" si="2"/>
        <v>1.25</v>
      </c>
      <c r="U22" s="69">
        <f t="shared" si="3"/>
        <v>10750</v>
      </c>
      <c r="V22" s="57">
        <f t="shared" si="4"/>
        <v>18666.666666666668</v>
      </c>
    </row>
    <row r="23" spans="1:22" ht="15" customHeight="1" x14ac:dyDescent="0.35">
      <c r="A23" s="64">
        <v>19</v>
      </c>
      <c r="B23" s="25" t="s">
        <v>134</v>
      </c>
      <c r="C23" s="25">
        <v>7</v>
      </c>
      <c r="D23" s="52" t="str">
        <f>VLOOKUP(B23,rep_roster!$A:$B,2,0)</f>
        <v>James Harrington</v>
      </c>
      <c r="E23" s="61" t="str">
        <f>VLOOKUP(B23,rep_roster!$A:$C,3,0)</f>
        <v>AE</v>
      </c>
      <c r="F23" s="61" t="str">
        <f>VLOOKUP(B23,rep_roster!$A:$D,4,0)</f>
        <v>Enterprise</v>
      </c>
      <c r="G23" s="61" t="str">
        <f>INDEX({"Jan","Feb","Mar","Apr","May","Jun","Jul","Aug","Sep","Oct","Nov","Dec"},C23)</f>
        <v>Jul</v>
      </c>
      <c r="H23" s="64">
        <v>2025</v>
      </c>
      <c r="I23" s="53">
        <f>IFERROR(VLOOKUP(E23&amp;"_"&amp;F23,plan_catalog!$A:$D,4,0)/12,0)</f>
        <v>7916.666666666667</v>
      </c>
      <c r="J23" s="38">
        <v>75000</v>
      </c>
      <c r="K23" s="38">
        <v>65000</v>
      </c>
      <c r="L23" s="62">
        <f t="shared" si="0"/>
        <v>0.8666666666666667</v>
      </c>
      <c r="M23" s="52" t="str">
        <f>IFERROR(VLOOKUP(B23,rep_roster!$A:$L,12,0),E23&amp;"_"&amp;F23)</f>
        <v>AE_Enterprise</v>
      </c>
      <c r="N23" s="66">
        <f>IFERROR(VLOOKUP(M23,plan_catalog!$A:$G,7,0),0)</f>
        <v>0.1</v>
      </c>
      <c r="O23" s="53">
        <f t="shared" si="1"/>
        <v>6500</v>
      </c>
      <c r="P23" s="66">
        <f>IFERROR(VLOOKUP(M23,plan_catalog!$A:$I,9,0),0)</f>
        <v>1</v>
      </c>
      <c r="Q23" s="67">
        <f>IFERROR(VLOOKUP(M23,plan_catalog!$A:$J,10,0),1)</f>
        <v>1.25</v>
      </c>
      <c r="R23" s="66">
        <f>IFERROR(VLOOKUP(M23,plan_catalog!$A:$K,11,0),0)</f>
        <v>1.2</v>
      </c>
      <c r="S23" s="67">
        <f>IFERROR(VLOOKUP(M23,plan_catalog!$A:$L,12,0),1)</f>
        <v>1.5</v>
      </c>
      <c r="T23" s="68">
        <f t="shared" si="2"/>
        <v>1</v>
      </c>
      <c r="U23" s="69">
        <f t="shared" si="3"/>
        <v>6500</v>
      </c>
      <c r="V23" s="57">
        <f t="shared" si="4"/>
        <v>14416.666666666668</v>
      </c>
    </row>
    <row r="24" spans="1:22" ht="15" customHeight="1" x14ac:dyDescent="0.35">
      <c r="A24" s="70">
        <v>20</v>
      </c>
      <c r="B24" s="22" t="s">
        <v>134</v>
      </c>
      <c r="C24" s="22">
        <v>8</v>
      </c>
      <c r="D24" s="49" t="str">
        <f>VLOOKUP(B24,rep_roster!$A:$B,2,0)</f>
        <v>James Harrington</v>
      </c>
      <c r="E24" s="58" t="str">
        <f>VLOOKUP(B24,rep_roster!$A:$C,3,0)</f>
        <v>AE</v>
      </c>
      <c r="F24" s="58" t="str">
        <f>VLOOKUP(B24,rep_roster!$A:$D,4,0)</f>
        <v>Enterprise</v>
      </c>
      <c r="G24" s="58" t="str">
        <f>INDEX({"Jan","Feb","Mar","Apr","May","Jun","Jul","Aug","Sep","Oct","Nov","Dec"},C24)</f>
        <v>Aug</v>
      </c>
      <c r="H24" s="70">
        <v>2025</v>
      </c>
      <c r="I24" s="50">
        <f>IFERROR(VLOOKUP(E24&amp;"_"&amp;F24,plan_catalog!$A:$D,4,0)/12,0)</f>
        <v>7916.666666666667</v>
      </c>
      <c r="J24" s="32">
        <v>75000</v>
      </c>
      <c r="K24" s="32">
        <v>58000</v>
      </c>
      <c r="L24" s="59">
        <f t="shared" si="0"/>
        <v>0.77333333333333332</v>
      </c>
      <c r="M24" s="49" t="str">
        <f>IFERROR(VLOOKUP(B24,rep_roster!$A:$L,12,0),E24&amp;"_"&amp;F24)</f>
        <v>AE_Enterprise</v>
      </c>
      <c r="N24" s="72">
        <f>IFERROR(VLOOKUP(M24,plan_catalog!$A:$G,7,0),0)</f>
        <v>0.1</v>
      </c>
      <c r="O24" s="50">
        <f t="shared" si="1"/>
        <v>5800</v>
      </c>
      <c r="P24" s="72">
        <f>IFERROR(VLOOKUP(M24,plan_catalog!$A:$I,9,0),0)</f>
        <v>1</v>
      </c>
      <c r="Q24" s="73">
        <f>IFERROR(VLOOKUP(M24,plan_catalog!$A:$J,10,0),1)</f>
        <v>1.25</v>
      </c>
      <c r="R24" s="72">
        <f>IFERROR(VLOOKUP(M24,plan_catalog!$A:$K,11,0),0)</f>
        <v>1.2</v>
      </c>
      <c r="S24" s="73">
        <f>IFERROR(VLOOKUP(M24,plan_catalog!$A:$L,12,0),1)</f>
        <v>1.5</v>
      </c>
      <c r="T24" s="74">
        <f t="shared" si="2"/>
        <v>1</v>
      </c>
      <c r="U24" s="69">
        <f t="shared" si="3"/>
        <v>5800</v>
      </c>
      <c r="V24" s="57">
        <f t="shared" si="4"/>
        <v>13716.666666666668</v>
      </c>
    </row>
    <row r="25" spans="1:22" ht="15" customHeight="1" x14ac:dyDescent="0.35">
      <c r="A25" s="64">
        <v>21</v>
      </c>
      <c r="B25" s="25" t="s">
        <v>134</v>
      </c>
      <c r="C25" s="25">
        <v>9</v>
      </c>
      <c r="D25" s="52" t="str">
        <f>VLOOKUP(B25,rep_roster!$A:$B,2,0)</f>
        <v>James Harrington</v>
      </c>
      <c r="E25" s="61" t="str">
        <f>VLOOKUP(B25,rep_roster!$A:$C,3,0)</f>
        <v>AE</v>
      </c>
      <c r="F25" s="61" t="str">
        <f>VLOOKUP(B25,rep_roster!$A:$D,4,0)</f>
        <v>Enterprise</v>
      </c>
      <c r="G25" s="61" t="str">
        <f>INDEX({"Jan","Feb","Mar","Apr","May","Jun","Jul","Aug","Sep","Oct","Nov","Dec"},C25)</f>
        <v>Sep</v>
      </c>
      <c r="H25" s="64">
        <v>2025</v>
      </c>
      <c r="I25" s="53">
        <f>IFERROR(VLOOKUP(E25&amp;"_"&amp;F25,plan_catalog!$A:$D,4,0)/12,0)</f>
        <v>7916.666666666667</v>
      </c>
      <c r="J25" s="38">
        <v>75000</v>
      </c>
      <c r="K25" s="38">
        <v>70000</v>
      </c>
      <c r="L25" s="62">
        <f t="shared" si="0"/>
        <v>0.93333333333333335</v>
      </c>
      <c r="M25" s="52" t="str">
        <f>IFERROR(VLOOKUP(B25,rep_roster!$A:$L,12,0),E25&amp;"_"&amp;F25)</f>
        <v>AE_Enterprise</v>
      </c>
      <c r="N25" s="66">
        <f>IFERROR(VLOOKUP(M25,plan_catalog!$A:$G,7,0),0)</f>
        <v>0.1</v>
      </c>
      <c r="O25" s="53">
        <f t="shared" si="1"/>
        <v>7000</v>
      </c>
      <c r="P25" s="66">
        <f>IFERROR(VLOOKUP(M25,plan_catalog!$A:$I,9,0),0)</f>
        <v>1</v>
      </c>
      <c r="Q25" s="67">
        <f>IFERROR(VLOOKUP(M25,plan_catalog!$A:$J,10,0),1)</f>
        <v>1.25</v>
      </c>
      <c r="R25" s="66">
        <f>IFERROR(VLOOKUP(M25,plan_catalog!$A:$K,11,0),0)</f>
        <v>1.2</v>
      </c>
      <c r="S25" s="67">
        <f>IFERROR(VLOOKUP(M25,plan_catalog!$A:$L,12,0),1)</f>
        <v>1.5</v>
      </c>
      <c r="T25" s="68">
        <f t="shared" si="2"/>
        <v>1</v>
      </c>
      <c r="U25" s="69">
        <f t="shared" si="3"/>
        <v>7000</v>
      </c>
      <c r="V25" s="57">
        <f t="shared" si="4"/>
        <v>14916.666666666668</v>
      </c>
    </row>
    <row r="26" spans="1:22" ht="15" customHeight="1" x14ac:dyDescent="0.35">
      <c r="A26" s="70">
        <v>22</v>
      </c>
      <c r="B26" s="22" t="s">
        <v>134</v>
      </c>
      <c r="C26" s="22">
        <v>10</v>
      </c>
      <c r="D26" s="49" t="str">
        <f>VLOOKUP(B26,rep_roster!$A:$B,2,0)</f>
        <v>James Harrington</v>
      </c>
      <c r="E26" s="58" t="str">
        <f>VLOOKUP(B26,rep_roster!$A:$C,3,0)</f>
        <v>AE</v>
      </c>
      <c r="F26" s="58" t="str">
        <f>VLOOKUP(B26,rep_roster!$A:$D,4,0)</f>
        <v>Enterprise</v>
      </c>
      <c r="G26" s="58" t="str">
        <f>INDEX({"Jan","Feb","Mar","Apr","May","Jun","Jul","Aug","Sep","Oct","Nov","Dec"},C26)</f>
        <v>Oct</v>
      </c>
      <c r="H26" s="70">
        <v>2025</v>
      </c>
      <c r="I26" s="50">
        <f>IFERROR(VLOOKUP(E26&amp;"_"&amp;F26,plan_catalog!$A:$D,4,0)/12,0)</f>
        <v>7916.666666666667</v>
      </c>
      <c r="J26" s="32">
        <v>75000</v>
      </c>
      <c r="K26" s="32">
        <v>55000</v>
      </c>
      <c r="L26" s="59">
        <f t="shared" si="0"/>
        <v>0.73333333333333328</v>
      </c>
      <c r="M26" s="49" t="str">
        <f>IFERROR(VLOOKUP(B26,rep_roster!$A:$L,12,0),E26&amp;"_"&amp;F26)</f>
        <v>AE_Enterprise</v>
      </c>
      <c r="N26" s="72">
        <f>IFERROR(VLOOKUP(M26,plan_catalog!$A:$G,7,0),0)</f>
        <v>0.1</v>
      </c>
      <c r="O26" s="50">
        <f t="shared" si="1"/>
        <v>5500</v>
      </c>
      <c r="P26" s="72">
        <f>IFERROR(VLOOKUP(M26,plan_catalog!$A:$I,9,0),0)</f>
        <v>1</v>
      </c>
      <c r="Q26" s="73">
        <f>IFERROR(VLOOKUP(M26,plan_catalog!$A:$J,10,0),1)</f>
        <v>1.25</v>
      </c>
      <c r="R26" s="72">
        <f>IFERROR(VLOOKUP(M26,plan_catalog!$A:$K,11,0),0)</f>
        <v>1.2</v>
      </c>
      <c r="S26" s="73">
        <f>IFERROR(VLOOKUP(M26,plan_catalog!$A:$L,12,0),1)</f>
        <v>1.5</v>
      </c>
      <c r="T26" s="74">
        <f t="shared" si="2"/>
        <v>1</v>
      </c>
      <c r="U26" s="69">
        <f t="shared" si="3"/>
        <v>5500</v>
      </c>
      <c r="V26" s="57">
        <f t="shared" si="4"/>
        <v>13416.666666666668</v>
      </c>
    </row>
    <row r="27" spans="1:22" ht="15" customHeight="1" x14ac:dyDescent="0.35">
      <c r="A27" s="64">
        <v>23</v>
      </c>
      <c r="B27" s="25" t="s">
        <v>134</v>
      </c>
      <c r="C27" s="25">
        <v>11</v>
      </c>
      <c r="D27" s="52" t="str">
        <f>VLOOKUP(B27,rep_roster!$A:$B,2,0)</f>
        <v>James Harrington</v>
      </c>
      <c r="E27" s="61" t="str">
        <f>VLOOKUP(B27,rep_roster!$A:$C,3,0)</f>
        <v>AE</v>
      </c>
      <c r="F27" s="61" t="str">
        <f>VLOOKUP(B27,rep_roster!$A:$D,4,0)</f>
        <v>Enterprise</v>
      </c>
      <c r="G27" s="61" t="str">
        <f>INDEX({"Jan","Feb","Mar","Apr","May","Jun","Jul","Aug","Sep","Oct","Nov","Dec"},C27)</f>
        <v>Nov</v>
      </c>
      <c r="H27" s="64">
        <v>2025</v>
      </c>
      <c r="I27" s="53">
        <f>IFERROR(VLOOKUP(E27&amp;"_"&amp;F27,plan_catalog!$A:$D,4,0)/12,0)</f>
        <v>7916.666666666667</v>
      </c>
      <c r="J27" s="38">
        <v>75000</v>
      </c>
      <c r="K27" s="38">
        <v>62000</v>
      </c>
      <c r="L27" s="62">
        <f t="shared" si="0"/>
        <v>0.82666666666666666</v>
      </c>
      <c r="M27" s="52" t="str">
        <f>IFERROR(VLOOKUP(B27,rep_roster!$A:$L,12,0),E27&amp;"_"&amp;F27)</f>
        <v>AE_Enterprise</v>
      </c>
      <c r="N27" s="66">
        <f>IFERROR(VLOOKUP(M27,plan_catalog!$A:$G,7,0),0)</f>
        <v>0.1</v>
      </c>
      <c r="O27" s="53">
        <f t="shared" si="1"/>
        <v>6200</v>
      </c>
      <c r="P27" s="66">
        <f>IFERROR(VLOOKUP(M27,plan_catalog!$A:$I,9,0),0)</f>
        <v>1</v>
      </c>
      <c r="Q27" s="67">
        <f>IFERROR(VLOOKUP(M27,plan_catalog!$A:$J,10,0),1)</f>
        <v>1.25</v>
      </c>
      <c r="R27" s="66">
        <f>IFERROR(VLOOKUP(M27,plan_catalog!$A:$K,11,0),0)</f>
        <v>1.2</v>
      </c>
      <c r="S27" s="67">
        <f>IFERROR(VLOOKUP(M27,plan_catalog!$A:$L,12,0),1)</f>
        <v>1.5</v>
      </c>
      <c r="T27" s="68">
        <f t="shared" si="2"/>
        <v>1</v>
      </c>
      <c r="U27" s="69">
        <f t="shared" si="3"/>
        <v>6200</v>
      </c>
      <c r="V27" s="57">
        <f t="shared" si="4"/>
        <v>14116.666666666668</v>
      </c>
    </row>
    <row r="28" spans="1:22" ht="15" customHeight="1" x14ac:dyDescent="0.35">
      <c r="A28" s="70">
        <v>24</v>
      </c>
      <c r="B28" s="22" t="s">
        <v>134</v>
      </c>
      <c r="C28" s="22">
        <v>12</v>
      </c>
      <c r="D28" s="49" t="str">
        <f>VLOOKUP(B28,rep_roster!$A:$B,2,0)</f>
        <v>James Harrington</v>
      </c>
      <c r="E28" s="58" t="str">
        <f>VLOOKUP(B28,rep_roster!$A:$C,3,0)</f>
        <v>AE</v>
      </c>
      <c r="F28" s="58" t="str">
        <f>VLOOKUP(B28,rep_roster!$A:$D,4,0)</f>
        <v>Enterprise</v>
      </c>
      <c r="G28" s="58" t="str">
        <f>INDEX({"Jan","Feb","Mar","Apr","May","Jun","Jul","Aug","Sep","Oct","Nov","Dec"},C28)</f>
        <v>Dec</v>
      </c>
      <c r="H28" s="70">
        <v>2025</v>
      </c>
      <c r="I28" s="50">
        <f>IFERROR(VLOOKUP(E28&amp;"_"&amp;F28,plan_catalog!$A:$D,4,0)/12,0)</f>
        <v>7916.666666666667</v>
      </c>
      <c r="J28" s="32">
        <v>75000</v>
      </c>
      <c r="K28" s="32">
        <v>78000</v>
      </c>
      <c r="L28" s="59">
        <f t="shared" si="0"/>
        <v>1.04</v>
      </c>
      <c r="M28" s="49" t="str">
        <f>IFERROR(VLOOKUP(B28,rep_roster!$A:$L,12,0),E28&amp;"_"&amp;F28)</f>
        <v>AE_Enterprise</v>
      </c>
      <c r="N28" s="72">
        <f>IFERROR(VLOOKUP(M28,plan_catalog!$A:$G,7,0),0)</f>
        <v>0.1</v>
      </c>
      <c r="O28" s="50">
        <f t="shared" si="1"/>
        <v>7800</v>
      </c>
      <c r="P28" s="72">
        <f>IFERROR(VLOOKUP(M28,plan_catalog!$A:$I,9,0),0)</f>
        <v>1</v>
      </c>
      <c r="Q28" s="73">
        <f>IFERROR(VLOOKUP(M28,plan_catalog!$A:$J,10,0),1)</f>
        <v>1.25</v>
      </c>
      <c r="R28" s="72">
        <f>IFERROR(VLOOKUP(M28,plan_catalog!$A:$K,11,0),0)</f>
        <v>1.2</v>
      </c>
      <c r="S28" s="73">
        <f>IFERROR(VLOOKUP(M28,plan_catalog!$A:$L,12,0),1)</f>
        <v>1.5</v>
      </c>
      <c r="T28" s="74">
        <f t="shared" si="2"/>
        <v>1.25</v>
      </c>
      <c r="U28" s="69">
        <f t="shared" si="3"/>
        <v>9750</v>
      </c>
      <c r="V28" s="57">
        <f t="shared" si="4"/>
        <v>17666.666666666668</v>
      </c>
    </row>
    <row r="29" spans="1:22" ht="15" customHeight="1" x14ac:dyDescent="0.35">
      <c r="A29" s="64">
        <v>25</v>
      </c>
      <c r="B29" s="25" t="s">
        <v>136</v>
      </c>
      <c r="C29" s="25">
        <v>1</v>
      </c>
      <c r="D29" s="52" t="str">
        <f>VLOOKUP(B29,rep_roster!$A:$B,2,0)</f>
        <v>Olivia Brooks</v>
      </c>
      <c r="E29" s="61" t="str">
        <f>VLOOKUP(B29,rep_roster!$A:$C,3,0)</f>
        <v>AE</v>
      </c>
      <c r="F29" s="61" t="str">
        <f>VLOOKUP(B29,rep_roster!$A:$D,4,0)</f>
        <v>Enterprise</v>
      </c>
      <c r="G29" s="61" t="str">
        <f>INDEX({"Jan","Feb","Mar","Apr","May","Jun","Jul","Aug","Sep","Oct","Nov","Dec"},C29)</f>
        <v>Jan</v>
      </c>
      <c r="H29" s="64">
        <v>2025</v>
      </c>
      <c r="I29" s="53">
        <f>IFERROR(VLOOKUP(E29&amp;"_"&amp;F29,plan_catalog!$A:$D,4,0)/12,0)</f>
        <v>7916.666666666667</v>
      </c>
      <c r="J29" s="38">
        <v>75000</v>
      </c>
      <c r="K29" s="38">
        <v>102000</v>
      </c>
      <c r="L29" s="62">
        <f t="shared" si="0"/>
        <v>1.36</v>
      </c>
      <c r="M29" s="52" t="str">
        <f>IFERROR(VLOOKUP(B29,rep_roster!$A:$L,12,0),E29&amp;"_"&amp;F29)</f>
        <v>AE_Enterprise</v>
      </c>
      <c r="N29" s="66">
        <f>IFERROR(VLOOKUP(M29,plan_catalog!$A:$G,7,0),0)</f>
        <v>0.1</v>
      </c>
      <c r="O29" s="53">
        <f t="shared" si="1"/>
        <v>10200</v>
      </c>
      <c r="P29" s="66">
        <f>IFERROR(VLOOKUP(M29,plan_catalog!$A:$I,9,0),0)</f>
        <v>1</v>
      </c>
      <c r="Q29" s="67">
        <f>IFERROR(VLOOKUP(M29,plan_catalog!$A:$J,10,0),1)</f>
        <v>1.25</v>
      </c>
      <c r="R29" s="66">
        <f>IFERROR(VLOOKUP(M29,plan_catalog!$A:$K,11,0),0)</f>
        <v>1.2</v>
      </c>
      <c r="S29" s="67">
        <f>IFERROR(VLOOKUP(M29,plan_catalog!$A:$L,12,0),1)</f>
        <v>1.5</v>
      </c>
      <c r="T29" s="68">
        <f t="shared" si="2"/>
        <v>1.5</v>
      </c>
      <c r="U29" s="69">
        <f t="shared" si="3"/>
        <v>15300</v>
      </c>
      <c r="V29" s="57">
        <f t="shared" si="4"/>
        <v>23216.666666666668</v>
      </c>
    </row>
    <row r="30" spans="1:22" ht="15" customHeight="1" x14ac:dyDescent="0.35">
      <c r="A30" s="70">
        <v>26</v>
      </c>
      <c r="B30" s="22" t="s">
        <v>136</v>
      </c>
      <c r="C30" s="22">
        <v>2</v>
      </c>
      <c r="D30" s="49" t="str">
        <f>VLOOKUP(B30,rep_roster!$A:$B,2,0)</f>
        <v>Olivia Brooks</v>
      </c>
      <c r="E30" s="58" t="str">
        <f>VLOOKUP(B30,rep_roster!$A:$C,3,0)</f>
        <v>AE</v>
      </c>
      <c r="F30" s="58" t="str">
        <f>VLOOKUP(B30,rep_roster!$A:$D,4,0)</f>
        <v>Enterprise</v>
      </c>
      <c r="G30" s="58" t="str">
        <f>INDEX({"Jan","Feb","Mar","Apr","May","Jun","Jul","Aug","Sep","Oct","Nov","Dec"},C30)</f>
        <v>Feb</v>
      </c>
      <c r="H30" s="70">
        <v>2025</v>
      </c>
      <c r="I30" s="50">
        <f>IFERROR(VLOOKUP(E30&amp;"_"&amp;F30,plan_catalog!$A:$D,4,0)/12,0)</f>
        <v>7916.666666666667</v>
      </c>
      <c r="J30" s="32">
        <v>75000</v>
      </c>
      <c r="K30" s="32">
        <v>95000</v>
      </c>
      <c r="L30" s="59">
        <f t="shared" si="0"/>
        <v>1.2666666666666666</v>
      </c>
      <c r="M30" s="49" t="str">
        <f>IFERROR(VLOOKUP(B30,rep_roster!$A:$L,12,0),E30&amp;"_"&amp;F30)</f>
        <v>AE_Enterprise</v>
      </c>
      <c r="N30" s="72">
        <f>IFERROR(VLOOKUP(M30,plan_catalog!$A:$G,7,0),0)</f>
        <v>0.1</v>
      </c>
      <c r="O30" s="50">
        <f t="shared" si="1"/>
        <v>9500</v>
      </c>
      <c r="P30" s="72">
        <f>IFERROR(VLOOKUP(M30,plan_catalog!$A:$I,9,0),0)</f>
        <v>1</v>
      </c>
      <c r="Q30" s="73">
        <f>IFERROR(VLOOKUP(M30,plan_catalog!$A:$J,10,0),1)</f>
        <v>1.25</v>
      </c>
      <c r="R30" s="72">
        <f>IFERROR(VLOOKUP(M30,plan_catalog!$A:$K,11,0),0)</f>
        <v>1.2</v>
      </c>
      <c r="S30" s="73">
        <f>IFERROR(VLOOKUP(M30,plan_catalog!$A:$L,12,0),1)</f>
        <v>1.5</v>
      </c>
      <c r="T30" s="74">
        <f t="shared" si="2"/>
        <v>1.5</v>
      </c>
      <c r="U30" s="69">
        <f t="shared" si="3"/>
        <v>14250</v>
      </c>
      <c r="V30" s="57">
        <f t="shared" si="4"/>
        <v>22166.666666666668</v>
      </c>
    </row>
    <row r="31" spans="1:22" ht="15" customHeight="1" x14ac:dyDescent="0.35">
      <c r="A31" s="64">
        <v>27</v>
      </c>
      <c r="B31" s="25" t="s">
        <v>136</v>
      </c>
      <c r="C31" s="25">
        <v>3</v>
      </c>
      <c r="D31" s="52" t="str">
        <f>VLOOKUP(B31,rep_roster!$A:$B,2,0)</f>
        <v>Olivia Brooks</v>
      </c>
      <c r="E31" s="61" t="str">
        <f>VLOOKUP(B31,rep_roster!$A:$C,3,0)</f>
        <v>AE</v>
      </c>
      <c r="F31" s="61" t="str">
        <f>VLOOKUP(B31,rep_roster!$A:$D,4,0)</f>
        <v>Enterprise</v>
      </c>
      <c r="G31" s="61" t="str">
        <f>INDEX({"Jan","Feb","Mar","Apr","May","Jun","Jul","Aug","Sep","Oct","Nov","Dec"},C31)</f>
        <v>Mar</v>
      </c>
      <c r="H31" s="64">
        <v>2025</v>
      </c>
      <c r="I31" s="53">
        <f>IFERROR(VLOOKUP(E31&amp;"_"&amp;F31,plan_catalog!$A:$D,4,0)/12,0)</f>
        <v>7916.666666666667</v>
      </c>
      <c r="J31" s="38">
        <v>75000</v>
      </c>
      <c r="K31" s="38">
        <v>115000</v>
      </c>
      <c r="L31" s="62">
        <f t="shared" si="0"/>
        <v>1.5333333333333334</v>
      </c>
      <c r="M31" s="52" t="str">
        <f>IFERROR(VLOOKUP(B31,rep_roster!$A:$L,12,0),E31&amp;"_"&amp;F31)</f>
        <v>AE_Enterprise</v>
      </c>
      <c r="N31" s="66">
        <f>IFERROR(VLOOKUP(M31,plan_catalog!$A:$G,7,0),0)</f>
        <v>0.1</v>
      </c>
      <c r="O31" s="53">
        <f t="shared" si="1"/>
        <v>11500</v>
      </c>
      <c r="P31" s="66">
        <f>IFERROR(VLOOKUP(M31,plan_catalog!$A:$I,9,0),0)</f>
        <v>1</v>
      </c>
      <c r="Q31" s="67">
        <f>IFERROR(VLOOKUP(M31,plan_catalog!$A:$J,10,0),1)</f>
        <v>1.25</v>
      </c>
      <c r="R31" s="66">
        <f>IFERROR(VLOOKUP(M31,plan_catalog!$A:$K,11,0),0)</f>
        <v>1.2</v>
      </c>
      <c r="S31" s="67">
        <f>IFERROR(VLOOKUP(M31,plan_catalog!$A:$L,12,0),1)</f>
        <v>1.5</v>
      </c>
      <c r="T31" s="68">
        <f t="shared" si="2"/>
        <v>1.5</v>
      </c>
      <c r="U31" s="69">
        <f t="shared" si="3"/>
        <v>17250</v>
      </c>
      <c r="V31" s="57">
        <f t="shared" si="4"/>
        <v>25166.666666666668</v>
      </c>
    </row>
    <row r="32" spans="1:22" ht="15" customHeight="1" x14ac:dyDescent="0.35">
      <c r="A32" s="70">
        <v>28</v>
      </c>
      <c r="B32" s="22" t="s">
        <v>136</v>
      </c>
      <c r="C32" s="22">
        <v>4</v>
      </c>
      <c r="D32" s="49" t="str">
        <f>VLOOKUP(B32,rep_roster!$A:$B,2,0)</f>
        <v>Olivia Brooks</v>
      </c>
      <c r="E32" s="58" t="str">
        <f>VLOOKUP(B32,rep_roster!$A:$C,3,0)</f>
        <v>AE</v>
      </c>
      <c r="F32" s="58" t="str">
        <f>VLOOKUP(B32,rep_roster!$A:$D,4,0)</f>
        <v>Enterprise</v>
      </c>
      <c r="G32" s="58" t="str">
        <f>INDEX({"Jan","Feb","Mar","Apr","May","Jun","Jul","Aug","Sep","Oct","Nov","Dec"},C32)</f>
        <v>Apr</v>
      </c>
      <c r="H32" s="70">
        <v>2025</v>
      </c>
      <c r="I32" s="50">
        <f>IFERROR(VLOOKUP(E32&amp;"_"&amp;F32,plan_catalog!$A:$D,4,0)/12,0)</f>
        <v>7916.666666666667</v>
      </c>
      <c r="J32" s="32">
        <v>75000</v>
      </c>
      <c r="K32" s="32">
        <v>88000</v>
      </c>
      <c r="L32" s="59">
        <f t="shared" si="0"/>
        <v>1.1733333333333333</v>
      </c>
      <c r="M32" s="49" t="str">
        <f>IFERROR(VLOOKUP(B32,rep_roster!$A:$L,12,0),E32&amp;"_"&amp;F32)</f>
        <v>AE_Enterprise</v>
      </c>
      <c r="N32" s="72">
        <f>IFERROR(VLOOKUP(M32,plan_catalog!$A:$G,7,0),0)</f>
        <v>0.1</v>
      </c>
      <c r="O32" s="50">
        <f t="shared" si="1"/>
        <v>8800</v>
      </c>
      <c r="P32" s="72">
        <f>IFERROR(VLOOKUP(M32,plan_catalog!$A:$I,9,0),0)</f>
        <v>1</v>
      </c>
      <c r="Q32" s="73">
        <f>IFERROR(VLOOKUP(M32,plan_catalog!$A:$J,10,0),1)</f>
        <v>1.25</v>
      </c>
      <c r="R32" s="72">
        <f>IFERROR(VLOOKUP(M32,plan_catalog!$A:$K,11,0),0)</f>
        <v>1.2</v>
      </c>
      <c r="S32" s="73">
        <f>IFERROR(VLOOKUP(M32,plan_catalog!$A:$L,12,0),1)</f>
        <v>1.5</v>
      </c>
      <c r="T32" s="74">
        <f t="shared" si="2"/>
        <v>1.25</v>
      </c>
      <c r="U32" s="69">
        <f t="shared" si="3"/>
        <v>11000</v>
      </c>
      <c r="V32" s="57">
        <f t="shared" si="4"/>
        <v>18916.666666666668</v>
      </c>
    </row>
    <row r="33" spans="1:22" ht="15" customHeight="1" x14ac:dyDescent="0.35">
      <c r="A33" s="64">
        <v>29</v>
      </c>
      <c r="B33" s="25" t="s">
        <v>136</v>
      </c>
      <c r="C33" s="25">
        <v>5</v>
      </c>
      <c r="D33" s="52" t="str">
        <f>VLOOKUP(B33,rep_roster!$A:$B,2,0)</f>
        <v>Olivia Brooks</v>
      </c>
      <c r="E33" s="61" t="str">
        <f>VLOOKUP(B33,rep_roster!$A:$C,3,0)</f>
        <v>AE</v>
      </c>
      <c r="F33" s="61" t="str">
        <f>VLOOKUP(B33,rep_roster!$A:$D,4,0)</f>
        <v>Enterprise</v>
      </c>
      <c r="G33" s="61" t="str">
        <f>INDEX({"Jan","Feb","Mar","Apr","May","Jun","Jul","Aug","Sep","Oct","Nov","Dec"},C33)</f>
        <v>May</v>
      </c>
      <c r="H33" s="64">
        <v>2025</v>
      </c>
      <c r="I33" s="53">
        <f>IFERROR(VLOOKUP(E33&amp;"_"&amp;F33,plan_catalog!$A:$D,4,0)/12,0)</f>
        <v>7916.666666666667</v>
      </c>
      <c r="J33" s="38">
        <v>75000</v>
      </c>
      <c r="K33" s="38">
        <v>92000</v>
      </c>
      <c r="L33" s="62">
        <f t="shared" si="0"/>
        <v>1.2266666666666666</v>
      </c>
      <c r="M33" s="52" t="str">
        <f>IFERROR(VLOOKUP(B33,rep_roster!$A:$L,12,0),E33&amp;"_"&amp;F33)</f>
        <v>AE_Enterprise</v>
      </c>
      <c r="N33" s="66">
        <f>IFERROR(VLOOKUP(M33,plan_catalog!$A:$G,7,0),0)</f>
        <v>0.1</v>
      </c>
      <c r="O33" s="53">
        <f t="shared" si="1"/>
        <v>9200</v>
      </c>
      <c r="P33" s="66">
        <f>IFERROR(VLOOKUP(M33,plan_catalog!$A:$I,9,0),0)</f>
        <v>1</v>
      </c>
      <c r="Q33" s="67">
        <f>IFERROR(VLOOKUP(M33,plan_catalog!$A:$J,10,0),1)</f>
        <v>1.25</v>
      </c>
      <c r="R33" s="66">
        <f>IFERROR(VLOOKUP(M33,plan_catalog!$A:$K,11,0),0)</f>
        <v>1.2</v>
      </c>
      <c r="S33" s="67">
        <f>IFERROR(VLOOKUP(M33,plan_catalog!$A:$L,12,0),1)</f>
        <v>1.5</v>
      </c>
      <c r="T33" s="68">
        <f t="shared" si="2"/>
        <v>1.5</v>
      </c>
      <c r="U33" s="69">
        <f t="shared" si="3"/>
        <v>13800</v>
      </c>
      <c r="V33" s="57">
        <f t="shared" si="4"/>
        <v>21716.666666666668</v>
      </c>
    </row>
    <row r="34" spans="1:22" ht="15" customHeight="1" x14ac:dyDescent="0.35">
      <c r="A34" s="70">
        <v>30</v>
      </c>
      <c r="B34" s="22" t="s">
        <v>136</v>
      </c>
      <c r="C34" s="22">
        <v>6</v>
      </c>
      <c r="D34" s="49" t="str">
        <f>VLOOKUP(B34,rep_roster!$A:$B,2,0)</f>
        <v>Olivia Brooks</v>
      </c>
      <c r="E34" s="58" t="str">
        <f>VLOOKUP(B34,rep_roster!$A:$C,3,0)</f>
        <v>AE</v>
      </c>
      <c r="F34" s="58" t="str">
        <f>VLOOKUP(B34,rep_roster!$A:$D,4,0)</f>
        <v>Enterprise</v>
      </c>
      <c r="G34" s="58" t="str">
        <f>INDEX({"Jan","Feb","Mar","Apr","May","Jun","Jul","Aug","Sep","Oct","Nov","Dec"},C34)</f>
        <v>Jun</v>
      </c>
      <c r="H34" s="70">
        <v>2025</v>
      </c>
      <c r="I34" s="50">
        <f>IFERROR(VLOOKUP(E34&amp;"_"&amp;F34,plan_catalog!$A:$D,4,0)/12,0)</f>
        <v>7916.666666666667</v>
      </c>
      <c r="J34" s="32">
        <v>75000</v>
      </c>
      <c r="K34" s="32">
        <v>85000</v>
      </c>
      <c r="L34" s="59">
        <f t="shared" si="0"/>
        <v>1.1333333333333333</v>
      </c>
      <c r="M34" s="49" t="str">
        <f>IFERROR(VLOOKUP(B34,rep_roster!$A:$L,12,0),E34&amp;"_"&amp;F34)</f>
        <v>AE_Enterprise</v>
      </c>
      <c r="N34" s="72">
        <f>IFERROR(VLOOKUP(M34,plan_catalog!$A:$G,7,0),0)</f>
        <v>0.1</v>
      </c>
      <c r="O34" s="50">
        <f t="shared" si="1"/>
        <v>8500</v>
      </c>
      <c r="P34" s="72">
        <f>IFERROR(VLOOKUP(M34,plan_catalog!$A:$I,9,0),0)</f>
        <v>1</v>
      </c>
      <c r="Q34" s="73">
        <f>IFERROR(VLOOKUP(M34,plan_catalog!$A:$J,10,0),1)</f>
        <v>1.25</v>
      </c>
      <c r="R34" s="72">
        <f>IFERROR(VLOOKUP(M34,plan_catalog!$A:$K,11,0),0)</f>
        <v>1.2</v>
      </c>
      <c r="S34" s="73">
        <f>IFERROR(VLOOKUP(M34,plan_catalog!$A:$L,12,0),1)</f>
        <v>1.5</v>
      </c>
      <c r="T34" s="74">
        <f t="shared" si="2"/>
        <v>1.25</v>
      </c>
      <c r="U34" s="69">
        <f t="shared" si="3"/>
        <v>10625</v>
      </c>
      <c r="V34" s="57">
        <f t="shared" si="4"/>
        <v>18541.666666666668</v>
      </c>
    </row>
    <row r="35" spans="1:22" ht="15" customHeight="1" x14ac:dyDescent="0.35">
      <c r="A35" s="64">
        <v>31</v>
      </c>
      <c r="B35" s="25" t="s">
        <v>136</v>
      </c>
      <c r="C35" s="25">
        <v>7</v>
      </c>
      <c r="D35" s="52" t="str">
        <f>VLOOKUP(B35,rep_roster!$A:$B,2,0)</f>
        <v>Olivia Brooks</v>
      </c>
      <c r="E35" s="61" t="str">
        <f>VLOOKUP(B35,rep_roster!$A:$C,3,0)</f>
        <v>AE</v>
      </c>
      <c r="F35" s="61" t="str">
        <f>VLOOKUP(B35,rep_roster!$A:$D,4,0)</f>
        <v>Enterprise</v>
      </c>
      <c r="G35" s="61" t="str">
        <f>INDEX({"Jan","Feb","Mar","Apr","May","Jun","Jul","Aug","Sep","Oct","Nov","Dec"},C35)</f>
        <v>Jul</v>
      </c>
      <c r="H35" s="64">
        <v>2025</v>
      </c>
      <c r="I35" s="53">
        <f>IFERROR(VLOOKUP(E35&amp;"_"&amp;F35,plan_catalog!$A:$D,4,0)/12,0)</f>
        <v>7916.666666666667</v>
      </c>
      <c r="J35" s="38">
        <v>75000</v>
      </c>
      <c r="K35" s="38">
        <v>72000</v>
      </c>
      <c r="L35" s="62">
        <f t="shared" si="0"/>
        <v>0.96</v>
      </c>
      <c r="M35" s="52" t="str">
        <f>IFERROR(VLOOKUP(B35,rep_roster!$A:$L,12,0),E35&amp;"_"&amp;F35)</f>
        <v>AE_Enterprise</v>
      </c>
      <c r="N35" s="66">
        <f>IFERROR(VLOOKUP(M35,plan_catalog!$A:$G,7,0),0)</f>
        <v>0.1</v>
      </c>
      <c r="O35" s="53">
        <f t="shared" si="1"/>
        <v>7200</v>
      </c>
      <c r="P35" s="66">
        <f>IFERROR(VLOOKUP(M35,plan_catalog!$A:$I,9,0),0)</f>
        <v>1</v>
      </c>
      <c r="Q35" s="67">
        <f>IFERROR(VLOOKUP(M35,plan_catalog!$A:$J,10,0),1)</f>
        <v>1.25</v>
      </c>
      <c r="R35" s="66">
        <f>IFERROR(VLOOKUP(M35,plan_catalog!$A:$K,11,0),0)</f>
        <v>1.2</v>
      </c>
      <c r="S35" s="67">
        <f>IFERROR(VLOOKUP(M35,plan_catalog!$A:$L,12,0),1)</f>
        <v>1.5</v>
      </c>
      <c r="T35" s="68">
        <f t="shared" si="2"/>
        <v>1</v>
      </c>
      <c r="U35" s="69">
        <f t="shared" si="3"/>
        <v>7200</v>
      </c>
      <c r="V35" s="57">
        <f t="shared" si="4"/>
        <v>15116.666666666668</v>
      </c>
    </row>
    <row r="36" spans="1:22" ht="15" customHeight="1" x14ac:dyDescent="0.35">
      <c r="A36" s="70">
        <v>32</v>
      </c>
      <c r="B36" s="22" t="s">
        <v>136</v>
      </c>
      <c r="C36" s="22">
        <v>8</v>
      </c>
      <c r="D36" s="49" t="str">
        <f>VLOOKUP(B36,rep_roster!$A:$B,2,0)</f>
        <v>Olivia Brooks</v>
      </c>
      <c r="E36" s="58" t="str">
        <f>VLOOKUP(B36,rep_roster!$A:$C,3,0)</f>
        <v>AE</v>
      </c>
      <c r="F36" s="58" t="str">
        <f>VLOOKUP(B36,rep_roster!$A:$D,4,0)</f>
        <v>Enterprise</v>
      </c>
      <c r="G36" s="58" t="str">
        <f>INDEX({"Jan","Feb","Mar","Apr","May","Jun","Jul","Aug","Sep","Oct","Nov","Dec"},C36)</f>
        <v>Aug</v>
      </c>
      <c r="H36" s="70">
        <v>2025</v>
      </c>
      <c r="I36" s="50">
        <f>IFERROR(VLOOKUP(E36&amp;"_"&amp;F36,plan_catalog!$A:$D,4,0)/12,0)</f>
        <v>7916.666666666667</v>
      </c>
      <c r="J36" s="32">
        <v>75000</v>
      </c>
      <c r="K36" s="32">
        <v>65000</v>
      </c>
      <c r="L36" s="59">
        <f t="shared" si="0"/>
        <v>0.8666666666666667</v>
      </c>
      <c r="M36" s="49" t="str">
        <f>IFERROR(VLOOKUP(B36,rep_roster!$A:$L,12,0),E36&amp;"_"&amp;F36)</f>
        <v>AE_Enterprise</v>
      </c>
      <c r="N36" s="72">
        <f>IFERROR(VLOOKUP(M36,plan_catalog!$A:$G,7,0),0)</f>
        <v>0.1</v>
      </c>
      <c r="O36" s="50">
        <f t="shared" si="1"/>
        <v>6500</v>
      </c>
      <c r="P36" s="72">
        <f>IFERROR(VLOOKUP(M36,plan_catalog!$A:$I,9,0),0)</f>
        <v>1</v>
      </c>
      <c r="Q36" s="73">
        <f>IFERROR(VLOOKUP(M36,plan_catalog!$A:$J,10,0),1)</f>
        <v>1.25</v>
      </c>
      <c r="R36" s="72">
        <f>IFERROR(VLOOKUP(M36,plan_catalog!$A:$K,11,0),0)</f>
        <v>1.2</v>
      </c>
      <c r="S36" s="73">
        <f>IFERROR(VLOOKUP(M36,plan_catalog!$A:$L,12,0),1)</f>
        <v>1.5</v>
      </c>
      <c r="T36" s="74">
        <f t="shared" si="2"/>
        <v>1</v>
      </c>
      <c r="U36" s="69">
        <f t="shared" si="3"/>
        <v>6500</v>
      </c>
      <c r="V36" s="57">
        <f t="shared" si="4"/>
        <v>14416.666666666668</v>
      </c>
    </row>
    <row r="37" spans="1:22" ht="15" customHeight="1" x14ac:dyDescent="0.35">
      <c r="A37" s="64">
        <v>33</v>
      </c>
      <c r="B37" s="25" t="s">
        <v>136</v>
      </c>
      <c r="C37" s="25">
        <v>9</v>
      </c>
      <c r="D37" s="52" t="str">
        <f>VLOOKUP(B37,rep_roster!$A:$B,2,0)</f>
        <v>Olivia Brooks</v>
      </c>
      <c r="E37" s="61" t="str">
        <f>VLOOKUP(B37,rep_roster!$A:$C,3,0)</f>
        <v>AE</v>
      </c>
      <c r="F37" s="61" t="str">
        <f>VLOOKUP(B37,rep_roster!$A:$D,4,0)</f>
        <v>Enterprise</v>
      </c>
      <c r="G37" s="61" t="str">
        <f>INDEX({"Jan","Feb","Mar","Apr","May","Jun","Jul","Aug","Sep","Oct","Nov","Dec"},C37)</f>
        <v>Sep</v>
      </c>
      <c r="H37" s="64">
        <v>2025</v>
      </c>
      <c r="I37" s="53">
        <f>IFERROR(VLOOKUP(E37&amp;"_"&amp;F37,plan_catalog!$A:$D,4,0)/12,0)</f>
        <v>7916.666666666667</v>
      </c>
      <c r="J37" s="38">
        <v>75000</v>
      </c>
      <c r="K37" s="38">
        <v>78000</v>
      </c>
      <c r="L37" s="62">
        <f t="shared" ref="L37:L68" si="5">IF(J37&gt;0,K37/J37,0)</f>
        <v>1.04</v>
      </c>
      <c r="M37" s="52" t="str">
        <f>IFERROR(VLOOKUP(B37,rep_roster!$A:$L,12,0),E37&amp;"_"&amp;F37)</f>
        <v>AE_Enterprise</v>
      </c>
      <c r="N37" s="66">
        <f>IFERROR(VLOOKUP(M37,plan_catalog!$A:$G,7,0),0)</f>
        <v>0.1</v>
      </c>
      <c r="O37" s="53">
        <f t="shared" ref="O37:O68" si="6">K37*N37</f>
        <v>7800</v>
      </c>
      <c r="P37" s="66">
        <f>IFERROR(VLOOKUP(M37,plan_catalog!$A:$I,9,0),0)</f>
        <v>1</v>
      </c>
      <c r="Q37" s="67">
        <f>IFERROR(VLOOKUP(M37,plan_catalog!$A:$J,10,0),1)</f>
        <v>1.25</v>
      </c>
      <c r="R37" s="66">
        <f>IFERROR(VLOOKUP(M37,plan_catalog!$A:$K,11,0),0)</f>
        <v>1.2</v>
      </c>
      <c r="S37" s="67">
        <f>IFERROR(VLOOKUP(M37,plan_catalog!$A:$L,12,0),1)</f>
        <v>1.5</v>
      </c>
      <c r="T37" s="68">
        <f t="shared" ref="T37:T68" si="7">IF(AND(R37&gt;0,L37&gt;=R37),S37,IF(AND(P37&gt;0,L37&gt;=P37),Q37,1))</f>
        <v>1.25</v>
      </c>
      <c r="U37" s="69">
        <f t="shared" ref="U37:U68" si="8">O37*T37</f>
        <v>9750</v>
      </c>
      <c r="V37" s="57">
        <f t="shared" ref="V37:V68" si="9">I37+U37</f>
        <v>17666.666666666668</v>
      </c>
    </row>
    <row r="38" spans="1:22" ht="15" customHeight="1" x14ac:dyDescent="0.35">
      <c r="A38" s="70">
        <v>34</v>
      </c>
      <c r="B38" s="22" t="s">
        <v>136</v>
      </c>
      <c r="C38" s="22">
        <v>10</v>
      </c>
      <c r="D38" s="49" t="str">
        <f>VLOOKUP(B38,rep_roster!$A:$B,2,0)</f>
        <v>Olivia Brooks</v>
      </c>
      <c r="E38" s="58" t="str">
        <f>VLOOKUP(B38,rep_roster!$A:$C,3,0)</f>
        <v>AE</v>
      </c>
      <c r="F38" s="58" t="str">
        <f>VLOOKUP(B38,rep_roster!$A:$D,4,0)</f>
        <v>Enterprise</v>
      </c>
      <c r="G38" s="58" t="str">
        <f>INDEX({"Jan","Feb","Mar","Apr","May","Jun","Jul","Aug","Sep","Oct","Nov","Dec"},C38)</f>
        <v>Oct</v>
      </c>
      <c r="H38" s="70">
        <v>2025</v>
      </c>
      <c r="I38" s="50">
        <f>IFERROR(VLOOKUP(E38&amp;"_"&amp;F38,plan_catalog!$A:$D,4,0)/12,0)</f>
        <v>7916.666666666667</v>
      </c>
      <c r="J38" s="32">
        <v>75000</v>
      </c>
      <c r="K38" s="32">
        <v>62000</v>
      </c>
      <c r="L38" s="59">
        <f t="shared" si="5"/>
        <v>0.82666666666666666</v>
      </c>
      <c r="M38" s="49" t="str">
        <f>IFERROR(VLOOKUP(B38,rep_roster!$A:$L,12,0),E38&amp;"_"&amp;F38)</f>
        <v>AE_Enterprise</v>
      </c>
      <c r="N38" s="72">
        <f>IFERROR(VLOOKUP(M38,plan_catalog!$A:$G,7,0),0)</f>
        <v>0.1</v>
      </c>
      <c r="O38" s="50">
        <f t="shared" si="6"/>
        <v>6200</v>
      </c>
      <c r="P38" s="72">
        <f>IFERROR(VLOOKUP(M38,plan_catalog!$A:$I,9,0),0)</f>
        <v>1</v>
      </c>
      <c r="Q38" s="73">
        <f>IFERROR(VLOOKUP(M38,plan_catalog!$A:$J,10,0),1)</f>
        <v>1.25</v>
      </c>
      <c r="R38" s="72">
        <f>IFERROR(VLOOKUP(M38,plan_catalog!$A:$K,11,0),0)</f>
        <v>1.2</v>
      </c>
      <c r="S38" s="73">
        <f>IFERROR(VLOOKUP(M38,plan_catalog!$A:$L,12,0),1)</f>
        <v>1.5</v>
      </c>
      <c r="T38" s="74">
        <f t="shared" si="7"/>
        <v>1</v>
      </c>
      <c r="U38" s="69">
        <f t="shared" si="8"/>
        <v>6200</v>
      </c>
      <c r="V38" s="57">
        <f t="shared" si="9"/>
        <v>14116.666666666668</v>
      </c>
    </row>
    <row r="39" spans="1:22" ht="15" customHeight="1" x14ac:dyDescent="0.35">
      <c r="A39" s="64">
        <v>35</v>
      </c>
      <c r="B39" s="25" t="s">
        <v>136</v>
      </c>
      <c r="C39" s="25">
        <v>11</v>
      </c>
      <c r="D39" s="52" t="str">
        <f>VLOOKUP(B39,rep_roster!$A:$B,2,0)</f>
        <v>Olivia Brooks</v>
      </c>
      <c r="E39" s="61" t="str">
        <f>VLOOKUP(B39,rep_roster!$A:$C,3,0)</f>
        <v>AE</v>
      </c>
      <c r="F39" s="61" t="str">
        <f>VLOOKUP(B39,rep_roster!$A:$D,4,0)</f>
        <v>Enterprise</v>
      </c>
      <c r="G39" s="61" t="str">
        <f>INDEX({"Jan","Feb","Mar","Apr","May","Jun","Jul","Aug","Sep","Oct","Nov","Dec"},C39)</f>
        <v>Nov</v>
      </c>
      <c r="H39" s="64">
        <v>2025</v>
      </c>
      <c r="I39" s="53">
        <f>IFERROR(VLOOKUP(E39&amp;"_"&amp;F39,plan_catalog!$A:$D,4,0)/12,0)</f>
        <v>7916.666666666667</v>
      </c>
      <c r="J39" s="38">
        <v>75000</v>
      </c>
      <c r="K39" s="38">
        <v>70000</v>
      </c>
      <c r="L39" s="62">
        <f t="shared" si="5"/>
        <v>0.93333333333333335</v>
      </c>
      <c r="M39" s="52" t="str">
        <f>IFERROR(VLOOKUP(B39,rep_roster!$A:$L,12,0),E39&amp;"_"&amp;F39)</f>
        <v>AE_Enterprise</v>
      </c>
      <c r="N39" s="66">
        <f>IFERROR(VLOOKUP(M39,plan_catalog!$A:$G,7,0),0)</f>
        <v>0.1</v>
      </c>
      <c r="O39" s="53">
        <f t="shared" si="6"/>
        <v>7000</v>
      </c>
      <c r="P39" s="66">
        <f>IFERROR(VLOOKUP(M39,plan_catalog!$A:$I,9,0),0)</f>
        <v>1</v>
      </c>
      <c r="Q39" s="67">
        <f>IFERROR(VLOOKUP(M39,plan_catalog!$A:$J,10,0),1)</f>
        <v>1.25</v>
      </c>
      <c r="R39" s="66">
        <f>IFERROR(VLOOKUP(M39,plan_catalog!$A:$K,11,0),0)</f>
        <v>1.2</v>
      </c>
      <c r="S39" s="67">
        <f>IFERROR(VLOOKUP(M39,plan_catalog!$A:$L,12,0),1)</f>
        <v>1.5</v>
      </c>
      <c r="T39" s="68">
        <f t="shared" si="7"/>
        <v>1</v>
      </c>
      <c r="U39" s="69">
        <f t="shared" si="8"/>
        <v>7000</v>
      </c>
      <c r="V39" s="57">
        <f t="shared" si="9"/>
        <v>14916.666666666668</v>
      </c>
    </row>
    <row r="40" spans="1:22" ht="15" customHeight="1" x14ac:dyDescent="0.35">
      <c r="A40" s="70">
        <v>36</v>
      </c>
      <c r="B40" s="22" t="s">
        <v>136</v>
      </c>
      <c r="C40" s="22">
        <v>12</v>
      </c>
      <c r="D40" s="49" t="str">
        <f>VLOOKUP(B40,rep_roster!$A:$B,2,0)</f>
        <v>Olivia Brooks</v>
      </c>
      <c r="E40" s="58" t="str">
        <f>VLOOKUP(B40,rep_roster!$A:$C,3,0)</f>
        <v>AE</v>
      </c>
      <c r="F40" s="58" t="str">
        <f>VLOOKUP(B40,rep_roster!$A:$D,4,0)</f>
        <v>Enterprise</v>
      </c>
      <c r="G40" s="58" t="str">
        <f>INDEX({"Jan","Feb","Mar","Apr","May","Jun","Jul","Aug","Sep","Oct","Nov","Dec"},C40)</f>
        <v>Dec</v>
      </c>
      <c r="H40" s="70">
        <v>2025</v>
      </c>
      <c r="I40" s="50">
        <f>IFERROR(VLOOKUP(E40&amp;"_"&amp;F40,plan_catalog!$A:$D,4,0)/12,0)</f>
        <v>7916.666666666667</v>
      </c>
      <c r="J40" s="32">
        <v>75000</v>
      </c>
      <c r="K40" s="32">
        <v>85000</v>
      </c>
      <c r="L40" s="59">
        <f t="shared" si="5"/>
        <v>1.1333333333333333</v>
      </c>
      <c r="M40" s="49" t="str">
        <f>IFERROR(VLOOKUP(B40,rep_roster!$A:$L,12,0),E40&amp;"_"&amp;F40)</f>
        <v>AE_Enterprise</v>
      </c>
      <c r="N40" s="72">
        <f>IFERROR(VLOOKUP(M40,plan_catalog!$A:$G,7,0),0)</f>
        <v>0.1</v>
      </c>
      <c r="O40" s="50">
        <f t="shared" si="6"/>
        <v>8500</v>
      </c>
      <c r="P40" s="72">
        <f>IFERROR(VLOOKUP(M40,plan_catalog!$A:$I,9,0),0)</f>
        <v>1</v>
      </c>
      <c r="Q40" s="73">
        <f>IFERROR(VLOOKUP(M40,plan_catalog!$A:$J,10,0),1)</f>
        <v>1.25</v>
      </c>
      <c r="R40" s="72">
        <f>IFERROR(VLOOKUP(M40,plan_catalog!$A:$K,11,0),0)</f>
        <v>1.2</v>
      </c>
      <c r="S40" s="73">
        <f>IFERROR(VLOOKUP(M40,plan_catalog!$A:$L,12,0),1)</f>
        <v>1.5</v>
      </c>
      <c r="T40" s="74">
        <f t="shared" si="7"/>
        <v>1.25</v>
      </c>
      <c r="U40" s="69">
        <f t="shared" si="8"/>
        <v>10625</v>
      </c>
      <c r="V40" s="57">
        <f t="shared" si="9"/>
        <v>18541.666666666668</v>
      </c>
    </row>
    <row r="41" spans="1:22" ht="15" customHeight="1" x14ac:dyDescent="0.35">
      <c r="A41" s="64">
        <v>37</v>
      </c>
      <c r="B41" s="25" t="s">
        <v>140</v>
      </c>
      <c r="C41" s="25">
        <v>1</v>
      </c>
      <c r="D41" s="52" t="str">
        <f>VLOOKUP(B41,rep_roster!$A:$B,2,0)</f>
        <v>David Kim</v>
      </c>
      <c r="E41" s="61" t="str">
        <f>VLOOKUP(B41,rep_roster!$A:$C,3,0)</f>
        <v>CSM</v>
      </c>
      <c r="F41" s="61" t="str">
        <f>VLOOKUP(B41,rep_roster!$A:$D,4,0)</f>
        <v>Enterprise</v>
      </c>
      <c r="G41" s="61" t="str">
        <f>INDEX({"Jan","Feb","Mar","Apr","May","Jun","Jul","Aug","Sep","Oct","Nov","Dec"},C41)</f>
        <v>Jan</v>
      </c>
      <c r="H41" s="64">
        <v>2025</v>
      </c>
      <c r="I41" s="53">
        <f>IFERROR(VLOOKUP(E41&amp;"_"&amp;F41,plan_catalog!$A:$D,4,0)/12,0)</f>
        <v>6666.666666666667</v>
      </c>
      <c r="J41" s="38">
        <v>40000</v>
      </c>
      <c r="K41" s="38">
        <v>52000</v>
      </c>
      <c r="L41" s="62">
        <f t="shared" si="5"/>
        <v>1.3</v>
      </c>
      <c r="M41" s="52" t="str">
        <f>IFERROR(VLOOKUP(B41,rep_roster!$A:$L,12,0),E41&amp;"_"&amp;F41)</f>
        <v>CSM_Enterprise</v>
      </c>
      <c r="N41" s="66">
        <f>IFERROR(VLOOKUP(M41,plan_catalog!$A:$G,7,0),0)</f>
        <v>0.06</v>
      </c>
      <c r="O41" s="53">
        <f t="shared" si="6"/>
        <v>3120</v>
      </c>
      <c r="P41" s="66">
        <f>IFERROR(VLOOKUP(M41,plan_catalog!$A:$I,9,0),0)</f>
        <v>1.05</v>
      </c>
      <c r="Q41" s="67">
        <f>IFERROR(VLOOKUP(M41,plan_catalog!$A:$J,10,0),1)</f>
        <v>1.2</v>
      </c>
      <c r="R41" s="66" t="str">
        <f>IFERROR(VLOOKUP(M41,plan_catalog!$A:$K,11,0),0)</f>
        <v>—</v>
      </c>
      <c r="S41" s="67" t="str">
        <f>IFERROR(VLOOKUP(M41,plan_catalog!$A:$L,12,0),1)</f>
        <v>—</v>
      </c>
      <c r="T41" s="68">
        <f t="shared" si="7"/>
        <v>1.2</v>
      </c>
      <c r="U41" s="69">
        <f t="shared" si="8"/>
        <v>3744</v>
      </c>
      <c r="V41" s="57">
        <f t="shared" si="9"/>
        <v>10410.666666666668</v>
      </c>
    </row>
    <row r="42" spans="1:22" ht="15" customHeight="1" x14ac:dyDescent="0.35">
      <c r="A42" s="70">
        <v>38</v>
      </c>
      <c r="B42" s="22" t="s">
        <v>140</v>
      </c>
      <c r="C42" s="22">
        <v>2</v>
      </c>
      <c r="D42" s="49" t="str">
        <f>VLOOKUP(B42,rep_roster!$A:$B,2,0)</f>
        <v>David Kim</v>
      </c>
      <c r="E42" s="58" t="str">
        <f>VLOOKUP(B42,rep_roster!$A:$C,3,0)</f>
        <v>CSM</v>
      </c>
      <c r="F42" s="58" t="str">
        <f>VLOOKUP(B42,rep_roster!$A:$D,4,0)</f>
        <v>Enterprise</v>
      </c>
      <c r="G42" s="58" t="str">
        <f>INDEX({"Jan","Feb","Mar","Apr","May","Jun","Jul","Aug","Sep","Oct","Nov","Dec"},C42)</f>
        <v>Feb</v>
      </c>
      <c r="H42" s="70">
        <v>2025</v>
      </c>
      <c r="I42" s="50">
        <f>IFERROR(VLOOKUP(E42&amp;"_"&amp;F42,plan_catalog!$A:$D,4,0)/12,0)</f>
        <v>6666.666666666667</v>
      </c>
      <c r="J42" s="32">
        <v>40000</v>
      </c>
      <c r="K42" s="32">
        <v>48000</v>
      </c>
      <c r="L42" s="59">
        <f t="shared" si="5"/>
        <v>1.2</v>
      </c>
      <c r="M42" s="49" t="str">
        <f>IFERROR(VLOOKUP(B42,rep_roster!$A:$L,12,0),E42&amp;"_"&amp;F42)</f>
        <v>CSM_Enterprise</v>
      </c>
      <c r="N42" s="72">
        <f>IFERROR(VLOOKUP(M42,plan_catalog!$A:$G,7,0),0)</f>
        <v>0.06</v>
      </c>
      <c r="O42" s="50">
        <f t="shared" si="6"/>
        <v>2880</v>
      </c>
      <c r="P42" s="72">
        <f>IFERROR(VLOOKUP(M42,plan_catalog!$A:$I,9,0),0)</f>
        <v>1.05</v>
      </c>
      <c r="Q42" s="73">
        <f>IFERROR(VLOOKUP(M42,plan_catalog!$A:$J,10,0),1)</f>
        <v>1.2</v>
      </c>
      <c r="R42" s="72" t="str">
        <f>IFERROR(VLOOKUP(M42,plan_catalog!$A:$K,11,0),0)</f>
        <v>—</v>
      </c>
      <c r="S42" s="73" t="str">
        <f>IFERROR(VLOOKUP(M42,plan_catalog!$A:$L,12,0),1)</f>
        <v>—</v>
      </c>
      <c r="T42" s="74">
        <f t="shared" si="7"/>
        <v>1.2</v>
      </c>
      <c r="U42" s="69">
        <f t="shared" si="8"/>
        <v>3456</v>
      </c>
      <c r="V42" s="57">
        <f t="shared" si="9"/>
        <v>10122.666666666668</v>
      </c>
    </row>
    <row r="43" spans="1:22" ht="15" customHeight="1" x14ac:dyDescent="0.35">
      <c r="A43" s="64">
        <v>39</v>
      </c>
      <c r="B43" s="25" t="s">
        <v>140</v>
      </c>
      <c r="C43" s="25">
        <v>3</v>
      </c>
      <c r="D43" s="52" t="str">
        <f>VLOOKUP(B43,rep_roster!$A:$B,2,0)</f>
        <v>David Kim</v>
      </c>
      <c r="E43" s="61" t="str">
        <f>VLOOKUP(B43,rep_roster!$A:$C,3,0)</f>
        <v>CSM</v>
      </c>
      <c r="F43" s="61" t="str">
        <f>VLOOKUP(B43,rep_roster!$A:$D,4,0)</f>
        <v>Enterprise</v>
      </c>
      <c r="G43" s="61" t="str">
        <f>INDEX({"Jan","Feb","Mar","Apr","May","Jun","Jul","Aug","Sep","Oct","Nov","Dec"},C43)</f>
        <v>Mar</v>
      </c>
      <c r="H43" s="64">
        <v>2025</v>
      </c>
      <c r="I43" s="53">
        <f>IFERROR(VLOOKUP(E43&amp;"_"&amp;F43,plan_catalog!$A:$D,4,0)/12,0)</f>
        <v>6666.666666666667</v>
      </c>
      <c r="J43" s="38">
        <v>40000</v>
      </c>
      <c r="K43" s="38">
        <v>58000</v>
      </c>
      <c r="L43" s="62">
        <f t="shared" si="5"/>
        <v>1.45</v>
      </c>
      <c r="M43" s="52" t="str">
        <f>IFERROR(VLOOKUP(B43,rep_roster!$A:$L,12,0),E43&amp;"_"&amp;F43)</f>
        <v>CSM_Enterprise</v>
      </c>
      <c r="N43" s="66">
        <f>IFERROR(VLOOKUP(M43,plan_catalog!$A:$G,7,0),0)</f>
        <v>0.06</v>
      </c>
      <c r="O43" s="53">
        <f t="shared" si="6"/>
        <v>3480</v>
      </c>
      <c r="P43" s="66">
        <f>IFERROR(VLOOKUP(M43,plan_catalog!$A:$I,9,0),0)</f>
        <v>1.05</v>
      </c>
      <c r="Q43" s="67">
        <f>IFERROR(VLOOKUP(M43,plan_catalog!$A:$J,10,0),1)</f>
        <v>1.2</v>
      </c>
      <c r="R43" s="66" t="str">
        <f>IFERROR(VLOOKUP(M43,plan_catalog!$A:$K,11,0),0)</f>
        <v>—</v>
      </c>
      <c r="S43" s="67" t="str">
        <f>IFERROR(VLOOKUP(M43,plan_catalog!$A:$L,12,0),1)</f>
        <v>—</v>
      </c>
      <c r="T43" s="68">
        <f t="shared" si="7"/>
        <v>1.2</v>
      </c>
      <c r="U43" s="69">
        <f t="shared" si="8"/>
        <v>4176</v>
      </c>
      <c r="V43" s="57">
        <f t="shared" si="9"/>
        <v>10842.666666666668</v>
      </c>
    </row>
    <row r="44" spans="1:22" ht="15" customHeight="1" x14ac:dyDescent="0.35">
      <c r="A44" s="70">
        <v>40</v>
      </c>
      <c r="B44" s="22" t="s">
        <v>140</v>
      </c>
      <c r="C44" s="22">
        <v>4</v>
      </c>
      <c r="D44" s="49" t="str">
        <f>VLOOKUP(B44,rep_roster!$A:$B,2,0)</f>
        <v>David Kim</v>
      </c>
      <c r="E44" s="58" t="str">
        <f>VLOOKUP(B44,rep_roster!$A:$C,3,0)</f>
        <v>CSM</v>
      </c>
      <c r="F44" s="58" t="str">
        <f>VLOOKUP(B44,rep_roster!$A:$D,4,0)</f>
        <v>Enterprise</v>
      </c>
      <c r="G44" s="58" t="str">
        <f>INDEX({"Jan","Feb","Mar","Apr","May","Jun","Jul","Aug","Sep","Oct","Nov","Dec"},C44)</f>
        <v>Apr</v>
      </c>
      <c r="H44" s="70">
        <v>2025</v>
      </c>
      <c r="I44" s="50">
        <f>IFERROR(VLOOKUP(E44&amp;"_"&amp;F44,plan_catalog!$A:$D,4,0)/12,0)</f>
        <v>6666.666666666667</v>
      </c>
      <c r="J44" s="32">
        <v>40000</v>
      </c>
      <c r="K44" s="32">
        <v>44000</v>
      </c>
      <c r="L44" s="59">
        <f t="shared" si="5"/>
        <v>1.1000000000000001</v>
      </c>
      <c r="M44" s="49" t="str">
        <f>IFERROR(VLOOKUP(B44,rep_roster!$A:$L,12,0),E44&amp;"_"&amp;F44)</f>
        <v>CSM_Enterprise</v>
      </c>
      <c r="N44" s="72">
        <f>IFERROR(VLOOKUP(M44,plan_catalog!$A:$G,7,0),0)</f>
        <v>0.06</v>
      </c>
      <c r="O44" s="50">
        <f t="shared" si="6"/>
        <v>2640</v>
      </c>
      <c r="P44" s="72">
        <f>IFERROR(VLOOKUP(M44,plan_catalog!$A:$I,9,0),0)</f>
        <v>1.05</v>
      </c>
      <c r="Q44" s="73">
        <f>IFERROR(VLOOKUP(M44,plan_catalog!$A:$J,10,0),1)</f>
        <v>1.2</v>
      </c>
      <c r="R44" s="72" t="str">
        <f>IFERROR(VLOOKUP(M44,plan_catalog!$A:$K,11,0),0)</f>
        <v>—</v>
      </c>
      <c r="S44" s="73" t="str">
        <f>IFERROR(VLOOKUP(M44,plan_catalog!$A:$L,12,0),1)</f>
        <v>—</v>
      </c>
      <c r="T44" s="74">
        <f t="shared" si="7"/>
        <v>1.2</v>
      </c>
      <c r="U44" s="69">
        <f t="shared" si="8"/>
        <v>3168</v>
      </c>
      <c r="V44" s="57">
        <f t="shared" si="9"/>
        <v>9834.6666666666679</v>
      </c>
    </row>
    <row r="45" spans="1:22" ht="15" customHeight="1" x14ac:dyDescent="0.35">
      <c r="A45" s="64">
        <v>41</v>
      </c>
      <c r="B45" s="25" t="s">
        <v>140</v>
      </c>
      <c r="C45" s="25">
        <v>5</v>
      </c>
      <c r="D45" s="52" t="str">
        <f>VLOOKUP(B45,rep_roster!$A:$B,2,0)</f>
        <v>David Kim</v>
      </c>
      <c r="E45" s="61" t="str">
        <f>VLOOKUP(B45,rep_roster!$A:$C,3,0)</f>
        <v>CSM</v>
      </c>
      <c r="F45" s="61" t="str">
        <f>VLOOKUP(B45,rep_roster!$A:$D,4,0)</f>
        <v>Enterprise</v>
      </c>
      <c r="G45" s="61" t="str">
        <f>INDEX({"Jan","Feb","Mar","Apr","May","Jun","Jul","Aug","Sep","Oct","Nov","Dec"},C45)</f>
        <v>May</v>
      </c>
      <c r="H45" s="64">
        <v>2025</v>
      </c>
      <c r="I45" s="53">
        <f>IFERROR(VLOOKUP(E45&amp;"_"&amp;F45,plan_catalog!$A:$D,4,0)/12,0)</f>
        <v>6666.666666666667</v>
      </c>
      <c r="J45" s="38">
        <v>40000</v>
      </c>
      <c r="K45" s="38">
        <v>42000</v>
      </c>
      <c r="L45" s="62">
        <f t="shared" si="5"/>
        <v>1.05</v>
      </c>
      <c r="M45" s="52" t="str">
        <f>IFERROR(VLOOKUP(B45,rep_roster!$A:$L,12,0),E45&amp;"_"&amp;F45)</f>
        <v>CSM_Enterprise</v>
      </c>
      <c r="N45" s="66">
        <f>IFERROR(VLOOKUP(M45,plan_catalog!$A:$G,7,0),0)</f>
        <v>0.06</v>
      </c>
      <c r="O45" s="53">
        <f t="shared" si="6"/>
        <v>2520</v>
      </c>
      <c r="P45" s="66">
        <f>IFERROR(VLOOKUP(M45,plan_catalog!$A:$I,9,0),0)</f>
        <v>1.05</v>
      </c>
      <c r="Q45" s="67">
        <f>IFERROR(VLOOKUP(M45,plan_catalog!$A:$J,10,0),1)</f>
        <v>1.2</v>
      </c>
      <c r="R45" s="66" t="str">
        <f>IFERROR(VLOOKUP(M45,plan_catalog!$A:$K,11,0),0)</f>
        <v>—</v>
      </c>
      <c r="S45" s="67" t="str">
        <f>IFERROR(VLOOKUP(M45,plan_catalog!$A:$L,12,0),1)</f>
        <v>—</v>
      </c>
      <c r="T45" s="68">
        <f t="shared" si="7"/>
        <v>1.2</v>
      </c>
      <c r="U45" s="69">
        <f t="shared" si="8"/>
        <v>3024</v>
      </c>
      <c r="V45" s="57">
        <f t="shared" si="9"/>
        <v>9690.6666666666679</v>
      </c>
    </row>
    <row r="46" spans="1:22" ht="15" customHeight="1" x14ac:dyDescent="0.35">
      <c r="A46" s="70">
        <v>42</v>
      </c>
      <c r="B46" s="22" t="s">
        <v>140</v>
      </c>
      <c r="C46" s="22">
        <v>6</v>
      </c>
      <c r="D46" s="49" t="str">
        <f>VLOOKUP(B46,rep_roster!$A:$B,2,0)</f>
        <v>David Kim</v>
      </c>
      <c r="E46" s="58" t="str">
        <f>VLOOKUP(B46,rep_roster!$A:$C,3,0)</f>
        <v>CSM</v>
      </c>
      <c r="F46" s="58" t="str">
        <f>VLOOKUP(B46,rep_roster!$A:$D,4,0)</f>
        <v>Enterprise</v>
      </c>
      <c r="G46" s="58" t="str">
        <f>INDEX({"Jan","Feb","Mar","Apr","May","Jun","Jul","Aug","Sep","Oct","Nov","Dec"},C46)</f>
        <v>Jun</v>
      </c>
      <c r="H46" s="70">
        <v>2025</v>
      </c>
      <c r="I46" s="50">
        <f>IFERROR(VLOOKUP(E46&amp;"_"&amp;F46,plan_catalog!$A:$D,4,0)/12,0)</f>
        <v>6666.666666666667</v>
      </c>
      <c r="J46" s="32">
        <v>40000</v>
      </c>
      <c r="K46" s="32">
        <v>46000</v>
      </c>
      <c r="L46" s="59">
        <f t="shared" si="5"/>
        <v>1.1499999999999999</v>
      </c>
      <c r="M46" s="49" t="str">
        <f>IFERROR(VLOOKUP(B46,rep_roster!$A:$L,12,0),E46&amp;"_"&amp;F46)</f>
        <v>CSM_Enterprise</v>
      </c>
      <c r="N46" s="72">
        <f>IFERROR(VLOOKUP(M46,plan_catalog!$A:$G,7,0),0)</f>
        <v>0.06</v>
      </c>
      <c r="O46" s="50">
        <f t="shared" si="6"/>
        <v>2760</v>
      </c>
      <c r="P46" s="72">
        <f>IFERROR(VLOOKUP(M46,plan_catalog!$A:$I,9,0),0)</f>
        <v>1.05</v>
      </c>
      <c r="Q46" s="73">
        <f>IFERROR(VLOOKUP(M46,plan_catalog!$A:$J,10,0),1)</f>
        <v>1.2</v>
      </c>
      <c r="R46" s="72" t="str">
        <f>IFERROR(VLOOKUP(M46,plan_catalog!$A:$K,11,0),0)</f>
        <v>—</v>
      </c>
      <c r="S46" s="73" t="str">
        <f>IFERROR(VLOOKUP(M46,plan_catalog!$A:$L,12,0),1)</f>
        <v>—</v>
      </c>
      <c r="T46" s="74">
        <f t="shared" si="7"/>
        <v>1.2</v>
      </c>
      <c r="U46" s="69">
        <f t="shared" si="8"/>
        <v>3312</v>
      </c>
      <c r="V46" s="57">
        <f t="shared" si="9"/>
        <v>9978.6666666666679</v>
      </c>
    </row>
    <row r="47" spans="1:22" ht="15" customHeight="1" x14ac:dyDescent="0.35">
      <c r="A47" s="64">
        <v>43</v>
      </c>
      <c r="B47" s="25" t="s">
        <v>140</v>
      </c>
      <c r="C47" s="25">
        <v>7</v>
      </c>
      <c r="D47" s="52" t="str">
        <f>VLOOKUP(B47,rep_roster!$A:$B,2,0)</f>
        <v>David Kim</v>
      </c>
      <c r="E47" s="61" t="str">
        <f>VLOOKUP(B47,rep_roster!$A:$C,3,0)</f>
        <v>CSM</v>
      </c>
      <c r="F47" s="61" t="str">
        <f>VLOOKUP(B47,rep_roster!$A:$D,4,0)</f>
        <v>Enterprise</v>
      </c>
      <c r="G47" s="61" t="str">
        <f>INDEX({"Jan","Feb","Mar","Apr","May","Jun","Jul","Aug","Sep","Oct","Nov","Dec"},C47)</f>
        <v>Jul</v>
      </c>
      <c r="H47" s="64">
        <v>2025</v>
      </c>
      <c r="I47" s="53">
        <f>IFERROR(VLOOKUP(E47&amp;"_"&amp;F47,plan_catalog!$A:$D,4,0)/12,0)</f>
        <v>6666.666666666667</v>
      </c>
      <c r="J47" s="38">
        <v>40000</v>
      </c>
      <c r="K47" s="38">
        <v>35000</v>
      </c>
      <c r="L47" s="62">
        <f t="shared" si="5"/>
        <v>0.875</v>
      </c>
      <c r="M47" s="52" t="str">
        <f>IFERROR(VLOOKUP(B47,rep_roster!$A:$L,12,0),E47&amp;"_"&amp;F47)</f>
        <v>CSM_Enterprise</v>
      </c>
      <c r="N47" s="66">
        <f>IFERROR(VLOOKUP(M47,plan_catalog!$A:$G,7,0),0)</f>
        <v>0.06</v>
      </c>
      <c r="O47" s="53">
        <f t="shared" si="6"/>
        <v>2100</v>
      </c>
      <c r="P47" s="66">
        <f>IFERROR(VLOOKUP(M47,plan_catalog!$A:$I,9,0),0)</f>
        <v>1.05</v>
      </c>
      <c r="Q47" s="67">
        <f>IFERROR(VLOOKUP(M47,plan_catalog!$A:$J,10,0),1)</f>
        <v>1.2</v>
      </c>
      <c r="R47" s="66" t="str">
        <f>IFERROR(VLOOKUP(M47,plan_catalog!$A:$K,11,0),0)</f>
        <v>—</v>
      </c>
      <c r="S47" s="67" t="str">
        <f>IFERROR(VLOOKUP(M47,plan_catalog!$A:$L,12,0),1)</f>
        <v>—</v>
      </c>
      <c r="T47" s="68">
        <f t="shared" si="7"/>
        <v>1</v>
      </c>
      <c r="U47" s="69">
        <f t="shared" si="8"/>
        <v>2100</v>
      </c>
      <c r="V47" s="57">
        <f t="shared" si="9"/>
        <v>8766.6666666666679</v>
      </c>
    </row>
    <row r="48" spans="1:22" ht="15" customHeight="1" x14ac:dyDescent="0.35">
      <c r="A48" s="70">
        <v>44</v>
      </c>
      <c r="B48" s="22" t="s">
        <v>140</v>
      </c>
      <c r="C48" s="22">
        <v>8</v>
      </c>
      <c r="D48" s="49" t="str">
        <f>VLOOKUP(B48,rep_roster!$A:$B,2,0)</f>
        <v>David Kim</v>
      </c>
      <c r="E48" s="58" t="str">
        <f>VLOOKUP(B48,rep_roster!$A:$C,3,0)</f>
        <v>CSM</v>
      </c>
      <c r="F48" s="58" t="str">
        <f>VLOOKUP(B48,rep_roster!$A:$D,4,0)</f>
        <v>Enterprise</v>
      </c>
      <c r="G48" s="58" t="str">
        <f>INDEX({"Jan","Feb","Mar","Apr","May","Jun","Jul","Aug","Sep","Oct","Nov","Dec"},C48)</f>
        <v>Aug</v>
      </c>
      <c r="H48" s="70">
        <v>2025</v>
      </c>
      <c r="I48" s="50">
        <f>IFERROR(VLOOKUP(E48&amp;"_"&amp;F48,plan_catalog!$A:$D,4,0)/12,0)</f>
        <v>6666.666666666667</v>
      </c>
      <c r="J48" s="32">
        <v>40000</v>
      </c>
      <c r="K48" s="32">
        <v>30000</v>
      </c>
      <c r="L48" s="59">
        <f t="shared" si="5"/>
        <v>0.75</v>
      </c>
      <c r="M48" s="49" t="str">
        <f>IFERROR(VLOOKUP(B48,rep_roster!$A:$L,12,0),E48&amp;"_"&amp;F48)</f>
        <v>CSM_Enterprise</v>
      </c>
      <c r="N48" s="72">
        <f>IFERROR(VLOOKUP(M48,plan_catalog!$A:$G,7,0),0)</f>
        <v>0.06</v>
      </c>
      <c r="O48" s="50">
        <f t="shared" si="6"/>
        <v>1800</v>
      </c>
      <c r="P48" s="72">
        <f>IFERROR(VLOOKUP(M48,plan_catalog!$A:$I,9,0),0)</f>
        <v>1.05</v>
      </c>
      <c r="Q48" s="73">
        <f>IFERROR(VLOOKUP(M48,plan_catalog!$A:$J,10,0),1)</f>
        <v>1.2</v>
      </c>
      <c r="R48" s="72" t="str">
        <f>IFERROR(VLOOKUP(M48,plan_catalog!$A:$K,11,0),0)</f>
        <v>—</v>
      </c>
      <c r="S48" s="73" t="str">
        <f>IFERROR(VLOOKUP(M48,plan_catalog!$A:$L,12,0),1)</f>
        <v>—</v>
      </c>
      <c r="T48" s="74">
        <f t="shared" si="7"/>
        <v>1</v>
      </c>
      <c r="U48" s="69">
        <f t="shared" si="8"/>
        <v>1800</v>
      </c>
      <c r="V48" s="57">
        <f t="shared" si="9"/>
        <v>8466.6666666666679</v>
      </c>
    </row>
    <row r="49" spans="1:22" ht="15" customHeight="1" x14ac:dyDescent="0.35">
      <c r="A49" s="64">
        <v>45</v>
      </c>
      <c r="B49" s="25" t="s">
        <v>140</v>
      </c>
      <c r="C49" s="25">
        <v>9</v>
      </c>
      <c r="D49" s="52" t="str">
        <f>VLOOKUP(B49,rep_roster!$A:$B,2,0)</f>
        <v>David Kim</v>
      </c>
      <c r="E49" s="61" t="str">
        <f>VLOOKUP(B49,rep_roster!$A:$C,3,0)</f>
        <v>CSM</v>
      </c>
      <c r="F49" s="61" t="str">
        <f>VLOOKUP(B49,rep_roster!$A:$D,4,0)</f>
        <v>Enterprise</v>
      </c>
      <c r="G49" s="61" t="str">
        <f>INDEX({"Jan","Feb","Mar","Apr","May","Jun","Jul","Aug","Sep","Oct","Nov","Dec"},C49)</f>
        <v>Sep</v>
      </c>
      <c r="H49" s="64">
        <v>2025</v>
      </c>
      <c r="I49" s="53">
        <f>IFERROR(VLOOKUP(E49&amp;"_"&amp;F49,plan_catalog!$A:$D,4,0)/12,0)</f>
        <v>6666.666666666667</v>
      </c>
      <c r="J49" s="38">
        <v>40000</v>
      </c>
      <c r="K49" s="38">
        <v>38000</v>
      </c>
      <c r="L49" s="62">
        <f t="shared" si="5"/>
        <v>0.95</v>
      </c>
      <c r="M49" s="52" t="str">
        <f>IFERROR(VLOOKUP(B49,rep_roster!$A:$L,12,0),E49&amp;"_"&amp;F49)</f>
        <v>CSM_Enterprise</v>
      </c>
      <c r="N49" s="66">
        <f>IFERROR(VLOOKUP(M49,plan_catalog!$A:$G,7,0),0)</f>
        <v>0.06</v>
      </c>
      <c r="O49" s="53">
        <f t="shared" si="6"/>
        <v>2280</v>
      </c>
      <c r="P49" s="66">
        <f>IFERROR(VLOOKUP(M49,plan_catalog!$A:$I,9,0),0)</f>
        <v>1.05</v>
      </c>
      <c r="Q49" s="67">
        <f>IFERROR(VLOOKUP(M49,plan_catalog!$A:$J,10,0),1)</f>
        <v>1.2</v>
      </c>
      <c r="R49" s="66" t="str">
        <f>IFERROR(VLOOKUP(M49,plan_catalog!$A:$K,11,0),0)</f>
        <v>—</v>
      </c>
      <c r="S49" s="67" t="str">
        <f>IFERROR(VLOOKUP(M49,plan_catalog!$A:$L,12,0),1)</f>
        <v>—</v>
      </c>
      <c r="T49" s="68">
        <f t="shared" si="7"/>
        <v>1</v>
      </c>
      <c r="U49" s="69">
        <f t="shared" si="8"/>
        <v>2280</v>
      </c>
      <c r="V49" s="57">
        <f t="shared" si="9"/>
        <v>8946.6666666666679</v>
      </c>
    </row>
    <row r="50" spans="1:22" ht="15" customHeight="1" x14ac:dyDescent="0.35">
      <c r="A50" s="70">
        <v>46</v>
      </c>
      <c r="B50" s="22" t="s">
        <v>143</v>
      </c>
      <c r="C50" s="22">
        <v>10</v>
      </c>
      <c r="D50" s="49" t="str">
        <f>VLOOKUP(B50,rep_roster!$A:$B,2,0)</f>
        <v>Lisa Park</v>
      </c>
      <c r="E50" s="58" t="str">
        <f>VLOOKUP(B50,rep_roster!$A:$C,3,0)</f>
        <v>CSM</v>
      </c>
      <c r="F50" s="58" t="str">
        <f>VLOOKUP(B50,rep_roster!$A:$D,4,0)</f>
        <v>Enterprise</v>
      </c>
      <c r="G50" s="58" t="str">
        <f>INDEX({"Jan","Feb","Mar","Apr","May","Jun","Jul","Aug","Sep","Oct","Nov","Dec"},C50)</f>
        <v>Oct</v>
      </c>
      <c r="H50" s="70">
        <v>2025</v>
      </c>
      <c r="I50" s="50">
        <f>IFERROR(VLOOKUP(E50&amp;"_"&amp;F50,plan_catalog!$A:$D,4,0)/12,0)</f>
        <v>6666.666666666667</v>
      </c>
      <c r="J50" s="32">
        <v>16000</v>
      </c>
      <c r="K50" s="32">
        <v>10000</v>
      </c>
      <c r="L50" s="59">
        <f t="shared" si="5"/>
        <v>0.625</v>
      </c>
      <c r="M50" s="49" t="str">
        <f>IFERROR(VLOOKUP(B50,rep_roster!$A:$L,12,0),E50&amp;"_"&amp;F50)</f>
        <v>CSM_Enterprise</v>
      </c>
      <c r="N50" s="72">
        <f>IFERROR(VLOOKUP(M50,plan_catalog!$A:$G,7,0),0)</f>
        <v>0.06</v>
      </c>
      <c r="O50" s="50">
        <f t="shared" si="6"/>
        <v>600</v>
      </c>
      <c r="P50" s="72">
        <f>IFERROR(VLOOKUP(M50,plan_catalog!$A:$I,9,0),0)</f>
        <v>1.05</v>
      </c>
      <c r="Q50" s="73">
        <f>IFERROR(VLOOKUP(M50,plan_catalog!$A:$J,10,0),1)</f>
        <v>1.2</v>
      </c>
      <c r="R50" s="72" t="str">
        <f>IFERROR(VLOOKUP(M50,plan_catalog!$A:$K,11,0),0)</f>
        <v>—</v>
      </c>
      <c r="S50" s="73" t="str">
        <f>IFERROR(VLOOKUP(M50,plan_catalog!$A:$L,12,0),1)</f>
        <v>—</v>
      </c>
      <c r="T50" s="74">
        <f t="shared" si="7"/>
        <v>1</v>
      </c>
      <c r="U50" s="69">
        <f t="shared" si="8"/>
        <v>600</v>
      </c>
      <c r="V50" s="57">
        <f t="shared" si="9"/>
        <v>7266.666666666667</v>
      </c>
    </row>
    <row r="51" spans="1:22" ht="15" customHeight="1" x14ac:dyDescent="0.35">
      <c r="A51" s="64">
        <v>47</v>
      </c>
      <c r="B51" s="25" t="s">
        <v>143</v>
      </c>
      <c r="C51" s="25">
        <v>11</v>
      </c>
      <c r="D51" s="52" t="str">
        <f>VLOOKUP(B51,rep_roster!$A:$B,2,0)</f>
        <v>Lisa Park</v>
      </c>
      <c r="E51" s="61" t="str">
        <f>VLOOKUP(B51,rep_roster!$A:$C,3,0)</f>
        <v>CSM</v>
      </c>
      <c r="F51" s="61" t="str">
        <f>VLOOKUP(B51,rep_roster!$A:$D,4,0)</f>
        <v>Enterprise</v>
      </c>
      <c r="G51" s="61" t="str">
        <f>INDEX({"Jan","Feb","Mar","Apr","May","Jun","Jul","Aug","Sep","Oct","Nov","Dec"},C51)</f>
        <v>Nov</v>
      </c>
      <c r="H51" s="64">
        <v>2025</v>
      </c>
      <c r="I51" s="53">
        <f>IFERROR(VLOOKUP(E51&amp;"_"&amp;F51,plan_catalog!$A:$D,4,0)/12,0)</f>
        <v>6666.666666666667</v>
      </c>
      <c r="J51" s="38">
        <v>28000</v>
      </c>
      <c r="K51" s="38">
        <v>12000</v>
      </c>
      <c r="L51" s="62">
        <f t="shared" si="5"/>
        <v>0.42857142857142855</v>
      </c>
      <c r="M51" s="52" t="str">
        <f>IFERROR(VLOOKUP(B51,rep_roster!$A:$L,12,0),E51&amp;"_"&amp;F51)</f>
        <v>CSM_Enterprise</v>
      </c>
      <c r="N51" s="66">
        <f>IFERROR(VLOOKUP(M51,plan_catalog!$A:$G,7,0),0)</f>
        <v>0.06</v>
      </c>
      <c r="O51" s="53">
        <f t="shared" si="6"/>
        <v>720</v>
      </c>
      <c r="P51" s="66">
        <f>IFERROR(VLOOKUP(M51,plan_catalog!$A:$I,9,0),0)</f>
        <v>1.05</v>
      </c>
      <c r="Q51" s="67">
        <f>IFERROR(VLOOKUP(M51,plan_catalog!$A:$J,10,0),1)</f>
        <v>1.2</v>
      </c>
      <c r="R51" s="66" t="str">
        <f>IFERROR(VLOOKUP(M51,plan_catalog!$A:$K,11,0),0)</f>
        <v>—</v>
      </c>
      <c r="S51" s="67" t="str">
        <f>IFERROR(VLOOKUP(M51,plan_catalog!$A:$L,12,0),1)</f>
        <v>—</v>
      </c>
      <c r="T51" s="68">
        <f t="shared" si="7"/>
        <v>1</v>
      </c>
      <c r="U51" s="69">
        <f t="shared" si="8"/>
        <v>720</v>
      </c>
      <c r="V51" s="57">
        <f t="shared" si="9"/>
        <v>7386.666666666667</v>
      </c>
    </row>
    <row r="52" spans="1:22" ht="15" customHeight="1" x14ac:dyDescent="0.35">
      <c r="A52" s="70">
        <v>48</v>
      </c>
      <c r="B52" s="22" t="s">
        <v>143</v>
      </c>
      <c r="C52" s="22">
        <v>12</v>
      </c>
      <c r="D52" s="49" t="str">
        <f>VLOOKUP(B52,rep_roster!$A:$B,2,0)</f>
        <v>Lisa Park</v>
      </c>
      <c r="E52" s="58" t="str">
        <f>VLOOKUP(B52,rep_roster!$A:$C,3,0)</f>
        <v>CSM</v>
      </c>
      <c r="F52" s="58" t="str">
        <f>VLOOKUP(B52,rep_roster!$A:$D,4,0)</f>
        <v>Enterprise</v>
      </c>
      <c r="G52" s="58" t="str">
        <f>INDEX({"Jan","Feb","Mar","Apr","May","Jun","Jul","Aug","Sep","Oct","Nov","Dec"},C52)</f>
        <v>Dec</v>
      </c>
      <c r="H52" s="70">
        <v>2025</v>
      </c>
      <c r="I52" s="50">
        <f>IFERROR(VLOOKUP(E52&amp;"_"&amp;F52,plan_catalog!$A:$D,4,0)/12,0)</f>
        <v>6666.666666666667</v>
      </c>
      <c r="J52" s="32">
        <v>40000</v>
      </c>
      <c r="K52" s="32">
        <v>15000</v>
      </c>
      <c r="L52" s="59">
        <f t="shared" si="5"/>
        <v>0.375</v>
      </c>
      <c r="M52" s="49" t="str">
        <f>IFERROR(VLOOKUP(B52,rep_roster!$A:$L,12,0),E52&amp;"_"&amp;F52)</f>
        <v>CSM_Enterprise</v>
      </c>
      <c r="N52" s="72">
        <f>IFERROR(VLOOKUP(M52,plan_catalog!$A:$G,7,0),0)</f>
        <v>0.06</v>
      </c>
      <c r="O52" s="50">
        <f t="shared" si="6"/>
        <v>900</v>
      </c>
      <c r="P52" s="72">
        <f>IFERROR(VLOOKUP(M52,plan_catalog!$A:$I,9,0),0)</f>
        <v>1.05</v>
      </c>
      <c r="Q52" s="73">
        <f>IFERROR(VLOOKUP(M52,plan_catalog!$A:$J,10,0),1)</f>
        <v>1.2</v>
      </c>
      <c r="R52" s="72" t="str">
        <f>IFERROR(VLOOKUP(M52,plan_catalog!$A:$K,11,0),0)</f>
        <v>—</v>
      </c>
      <c r="S52" s="73" t="str">
        <f>IFERROR(VLOOKUP(M52,plan_catalog!$A:$L,12,0),1)</f>
        <v>—</v>
      </c>
      <c r="T52" s="74">
        <f t="shared" si="7"/>
        <v>1</v>
      </c>
      <c r="U52" s="69">
        <f t="shared" si="8"/>
        <v>900</v>
      </c>
      <c r="V52" s="57">
        <f t="shared" si="9"/>
        <v>7566.666666666667</v>
      </c>
    </row>
    <row r="53" spans="1:22" ht="15" customHeight="1" x14ac:dyDescent="0.35">
      <c r="A53" s="64">
        <v>49</v>
      </c>
      <c r="B53" s="25" t="s">
        <v>148</v>
      </c>
      <c r="C53" s="25">
        <v>1</v>
      </c>
      <c r="D53" s="52" t="str">
        <f>VLOOKUP(B53,rep_roster!$A:$B,2,0)</f>
        <v>Kevin O'Brien</v>
      </c>
      <c r="E53" s="61" t="str">
        <f>VLOOKUP(B53,rep_roster!$A:$C,3,0)</f>
        <v>SDR</v>
      </c>
      <c r="F53" s="61" t="str">
        <f>VLOOKUP(B53,rep_roster!$A:$D,4,0)</f>
        <v>Mid-Market</v>
      </c>
      <c r="G53" s="61" t="str">
        <f>INDEX({"Jan","Feb","Mar","Apr","May","Jun","Jul","Aug","Sep","Oct","Nov","Dec"},C53)</f>
        <v>Jan</v>
      </c>
      <c r="H53" s="64">
        <v>2025</v>
      </c>
      <c r="I53" s="53">
        <f>IFERROR(VLOOKUP(E53&amp;"_"&amp;F53,plan_catalog!$A:$D,4,0)/12,0)</f>
        <v>4583.333333333333</v>
      </c>
      <c r="J53" s="39">
        <v>10</v>
      </c>
      <c r="K53" s="39">
        <v>12</v>
      </c>
      <c r="L53" s="62">
        <f t="shared" si="5"/>
        <v>1.2</v>
      </c>
      <c r="M53" s="52" t="str">
        <f>IFERROR(VLOOKUP(B53,rep_roster!$A:$L,12,0),E53&amp;"_"&amp;F53)</f>
        <v>SDR_Mid-Market</v>
      </c>
      <c r="N53" s="65">
        <f>IFERROR(VLOOKUP(M53,plan_catalog!$A:$G,7,0),0)</f>
        <v>167</v>
      </c>
      <c r="O53" s="53">
        <f t="shared" si="6"/>
        <v>2004</v>
      </c>
      <c r="P53" s="66">
        <f>IFERROR(VLOOKUP(M53,plan_catalog!$A:$I,9,0),0)</f>
        <v>1.1000000000000001</v>
      </c>
      <c r="Q53" s="67">
        <f>IFERROR(VLOOKUP(M53,plan_catalog!$A:$J,10,0),1)</f>
        <v>1.25</v>
      </c>
      <c r="R53" s="66" t="str">
        <f>IFERROR(VLOOKUP(M53,plan_catalog!$A:$K,11,0),0)</f>
        <v>—</v>
      </c>
      <c r="S53" s="67" t="str">
        <f>IFERROR(VLOOKUP(M53,plan_catalog!$A:$L,12,0),1)</f>
        <v>—</v>
      </c>
      <c r="T53" s="68">
        <f t="shared" si="7"/>
        <v>1.25</v>
      </c>
      <c r="U53" s="69">
        <f t="shared" si="8"/>
        <v>2505</v>
      </c>
      <c r="V53" s="57">
        <f t="shared" si="9"/>
        <v>7088.333333333333</v>
      </c>
    </row>
    <row r="54" spans="1:22" ht="15" customHeight="1" x14ac:dyDescent="0.35">
      <c r="A54" s="70">
        <v>50</v>
      </c>
      <c r="B54" s="22" t="s">
        <v>148</v>
      </c>
      <c r="C54" s="22">
        <v>2</v>
      </c>
      <c r="D54" s="49" t="str">
        <f>VLOOKUP(B54,rep_roster!$A:$B,2,0)</f>
        <v>Kevin O'Brien</v>
      </c>
      <c r="E54" s="58" t="str">
        <f>VLOOKUP(B54,rep_roster!$A:$C,3,0)</f>
        <v>SDR</v>
      </c>
      <c r="F54" s="58" t="str">
        <f>VLOOKUP(B54,rep_roster!$A:$D,4,0)</f>
        <v>Mid-Market</v>
      </c>
      <c r="G54" s="58" t="str">
        <f>INDEX({"Jan","Feb","Mar","Apr","May","Jun","Jul","Aug","Sep","Oct","Nov","Dec"},C54)</f>
        <v>Feb</v>
      </c>
      <c r="H54" s="70">
        <v>2025</v>
      </c>
      <c r="I54" s="50">
        <f>IFERROR(VLOOKUP(E54&amp;"_"&amp;F54,plan_catalog!$A:$D,4,0)/12,0)</f>
        <v>4583.333333333333</v>
      </c>
      <c r="J54" s="33">
        <v>10</v>
      </c>
      <c r="K54" s="33">
        <v>11</v>
      </c>
      <c r="L54" s="59">
        <f t="shared" si="5"/>
        <v>1.1000000000000001</v>
      </c>
      <c r="M54" s="49" t="str">
        <f>IFERROR(VLOOKUP(B54,rep_roster!$A:$L,12,0),E54&amp;"_"&amp;F54)</f>
        <v>SDR_Mid-Market</v>
      </c>
      <c r="N54" s="71">
        <f>IFERROR(VLOOKUP(M54,plan_catalog!$A:$G,7,0),0)</f>
        <v>167</v>
      </c>
      <c r="O54" s="50">
        <f t="shared" si="6"/>
        <v>1837</v>
      </c>
      <c r="P54" s="72">
        <f>IFERROR(VLOOKUP(M54,plan_catalog!$A:$I,9,0),0)</f>
        <v>1.1000000000000001</v>
      </c>
      <c r="Q54" s="73">
        <f>IFERROR(VLOOKUP(M54,plan_catalog!$A:$J,10,0),1)</f>
        <v>1.25</v>
      </c>
      <c r="R54" s="72" t="str">
        <f>IFERROR(VLOOKUP(M54,plan_catalog!$A:$K,11,0),0)</f>
        <v>—</v>
      </c>
      <c r="S54" s="73" t="str">
        <f>IFERROR(VLOOKUP(M54,plan_catalog!$A:$L,12,0),1)</f>
        <v>—</v>
      </c>
      <c r="T54" s="74">
        <f t="shared" si="7"/>
        <v>1.25</v>
      </c>
      <c r="U54" s="69">
        <f t="shared" si="8"/>
        <v>2296.25</v>
      </c>
      <c r="V54" s="57">
        <f t="shared" si="9"/>
        <v>6879.583333333333</v>
      </c>
    </row>
    <row r="55" spans="1:22" ht="15" customHeight="1" x14ac:dyDescent="0.35">
      <c r="A55" s="64">
        <v>51</v>
      </c>
      <c r="B55" s="25" t="s">
        <v>148</v>
      </c>
      <c r="C55" s="25">
        <v>3</v>
      </c>
      <c r="D55" s="52" t="str">
        <f>VLOOKUP(B55,rep_roster!$A:$B,2,0)</f>
        <v>Kevin O'Brien</v>
      </c>
      <c r="E55" s="61" t="str">
        <f>VLOOKUP(B55,rep_roster!$A:$C,3,0)</f>
        <v>SDR</v>
      </c>
      <c r="F55" s="61" t="str">
        <f>VLOOKUP(B55,rep_roster!$A:$D,4,0)</f>
        <v>Mid-Market</v>
      </c>
      <c r="G55" s="61" t="str">
        <f>INDEX({"Jan","Feb","Mar","Apr","May","Jun","Jul","Aug","Sep","Oct","Nov","Dec"},C55)</f>
        <v>Mar</v>
      </c>
      <c r="H55" s="64">
        <v>2025</v>
      </c>
      <c r="I55" s="53">
        <f>IFERROR(VLOOKUP(E55&amp;"_"&amp;F55,plan_catalog!$A:$D,4,0)/12,0)</f>
        <v>4583.333333333333</v>
      </c>
      <c r="J55" s="39">
        <v>10</v>
      </c>
      <c r="K55" s="39">
        <v>13</v>
      </c>
      <c r="L55" s="62">
        <f t="shared" si="5"/>
        <v>1.3</v>
      </c>
      <c r="M55" s="52" t="str">
        <f>IFERROR(VLOOKUP(B55,rep_roster!$A:$L,12,0),E55&amp;"_"&amp;F55)</f>
        <v>SDR_Mid-Market</v>
      </c>
      <c r="N55" s="65">
        <f>IFERROR(VLOOKUP(M55,plan_catalog!$A:$G,7,0),0)</f>
        <v>167</v>
      </c>
      <c r="O55" s="53">
        <f t="shared" si="6"/>
        <v>2171</v>
      </c>
      <c r="P55" s="66">
        <f>IFERROR(VLOOKUP(M55,plan_catalog!$A:$I,9,0),0)</f>
        <v>1.1000000000000001</v>
      </c>
      <c r="Q55" s="67">
        <f>IFERROR(VLOOKUP(M55,plan_catalog!$A:$J,10,0),1)</f>
        <v>1.25</v>
      </c>
      <c r="R55" s="66" t="str">
        <f>IFERROR(VLOOKUP(M55,plan_catalog!$A:$K,11,0),0)</f>
        <v>—</v>
      </c>
      <c r="S55" s="67" t="str">
        <f>IFERROR(VLOOKUP(M55,plan_catalog!$A:$L,12,0),1)</f>
        <v>—</v>
      </c>
      <c r="T55" s="68">
        <f t="shared" si="7"/>
        <v>1.25</v>
      </c>
      <c r="U55" s="69">
        <f t="shared" si="8"/>
        <v>2713.75</v>
      </c>
      <c r="V55" s="57">
        <f t="shared" si="9"/>
        <v>7297.083333333333</v>
      </c>
    </row>
    <row r="56" spans="1:22" ht="15" customHeight="1" x14ac:dyDescent="0.35">
      <c r="A56" s="70">
        <v>52</v>
      </c>
      <c r="B56" s="22" t="s">
        <v>148</v>
      </c>
      <c r="C56" s="22">
        <v>4</v>
      </c>
      <c r="D56" s="49" t="str">
        <f>VLOOKUP(B56,rep_roster!$A:$B,2,0)</f>
        <v>Kevin O'Brien</v>
      </c>
      <c r="E56" s="58" t="str">
        <f>VLOOKUP(B56,rep_roster!$A:$C,3,0)</f>
        <v>SDR</v>
      </c>
      <c r="F56" s="58" t="str">
        <f>VLOOKUP(B56,rep_roster!$A:$D,4,0)</f>
        <v>Mid-Market</v>
      </c>
      <c r="G56" s="58" t="str">
        <f>INDEX({"Jan","Feb","Mar","Apr","May","Jun","Jul","Aug","Sep","Oct","Nov","Dec"},C56)</f>
        <v>Apr</v>
      </c>
      <c r="H56" s="70">
        <v>2025</v>
      </c>
      <c r="I56" s="50">
        <f>IFERROR(VLOOKUP(E56&amp;"_"&amp;F56,plan_catalog!$A:$D,4,0)/12,0)</f>
        <v>4583.333333333333</v>
      </c>
      <c r="J56" s="33">
        <v>10</v>
      </c>
      <c r="K56" s="33">
        <v>11</v>
      </c>
      <c r="L56" s="59">
        <f t="shared" si="5"/>
        <v>1.1000000000000001</v>
      </c>
      <c r="M56" s="49" t="str">
        <f>IFERROR(VLOOKUP(B56,rep_roster!$A:$L,12,0),E56&amp;"_"&amp;F56)</f>
        <v>SDR_Mid-Market</v>
      </c>
      <c r="N56" s="71">
        <f>IFERROR(VLOOKUP(M56,plan_catalog!$A:$G,7,0),0)</f>
        <v>167</v>
      </c>
      <c r="O56" s="50">
        <f t="shared" si="6"/>
        <v>1837</v>
      </c>
      <c r="P56" s="72">
        <f>IFERROR(VLOOKUP(M56,plan_catalog!$A:$I,9,0),0)</f>
        <v>1.1000000000000001</v>
      </c>
      <c r="Q56" s="73">
        <f>IFERROR(VLOOKUP(M56,plan_catalog!$A:$J,10,0),1)</f>
        <v>1.25</v>
      </c>
      <c r="R56" s="72" t="str">
        <f>IFERROR(VLOOKUP(M56,plan_catalog!$A:$K,11,0),0)</f>
        <v>—</v>
      </c>
      <c r="S56" s="73" t="str">
        <f>IFERROR(VLOOKUP(M56,plan_catalog!$A:$L,12,0),1)</f>
        <v>—</v>
      </c>
      <c r="T56" s="74">
        <f t="shared" si="7"/>
        <v>1.25</v>
      </c>
      <c r="U56" s="69">
        <f t="shared" si="8"/>
        <v>2296.25</v>
      </c>
      <c r="V56" s="57">
        <f t="shared" si="9"/>
        <v>6879.583333333333</v>
      </c>
    </row>
    <row r="57" spans="1:22" ht="15" customHeight="1" x14ac:dyDescent="0.35">
      <c r="A57" s="64">
        <v>53</v>
      </c>
      <c r="B57" s="25" t="s">
        <v>148</v>
      </c>
      <c r="C57" s="25">
        <v>5</v>
      </c>
      <c r="D57" s="52" t="str">
        <f>VLOOKUP(B57,rep_roster!$A:$B,2,0)</f>
        <v>Kevin O'Brien</v>
      </c>
      <c r="E57" s="61" t="str">
        <f>VLOOKUP(B57,rep_roster!$A:$C,3,0)</f>
        <v>SDR</v>
      </c>
      <c r="F57" s="61" t="str">
        <f>VLOOKUP(B57,rep_roster!$A:$D,4,0)</f>
        <v>Mid-Market</v>
      </c>
      <c r="G57" s="61" t="str">
        <f>INDEX({"Jan","Feb","Mar","Apr","May","Jun","Jul","Aug","Sep","Oct","Nov","Dec"},C57)</f>
        <v>May</v>
      </c>
      <c r="H57" s="64">
        <v>2025</v>
      </c>
      <c r="I57" s="53">
        <f>IFERROR(VLOOKUP(E57&amp;"_"&amp;F57,plan_catalog!$A:$D,4,0)/12,0)</f>
        <v>4583.333333333333</v>
      </c>
      <c r="J57" s="39">
        <v>10</v>
      </c>
      <c r="K57" s="39">
        <v>11</v>
      </c>
      <c r="L57" s="62">
        <f t="shared" si="5"/>
        <v>1.1000000000000001</v>
      </c>
      <c r="M57" s="52" t="str">
        <f>IFERROR(VLOOKUP(B57,rep_roster!$A:$L,12,0),E57&amp;"_"&amp;F57)</f>
        <v>SDR_Mid-Market</v>
      </c>
      <c r="N57" s="65">
        <f>IFERROR(VLOOKUP(M57,plan_catalog!$A:$G,7,0),0)</f>
        <v>167</v>
      </c>
      <c r="O57" s="53">
        <f t="shared" si="6"/>
        <v>1837</v>
      </c>
      <c r="P57" s="66">
        <f>IFERROR(VLOOKUP(M57,plan_catalog!$A:$I,9,0),0)</f>
        <v>1.1000000000000001</v>
      </c>
      <c r="Q57" s="67">
        <f>IFERROR(VLOOKUP(M57,plan_catalog!$A:$J,10,0),1)</f>
        <v>1.25</v>
      </c>
      <c r="R57" s="66" t="str">
        <f>IFERROR(VLOOKUP(M57,plan_catalog!$A:$K,11,0),0)</f>
        <v>—</v>
      </c>
      <c r="S57" s="67" t="str">
        <f>IFERROR(VLOOKUP(M57,plan_catalog!$A:$L,12,0),1)</f>
        <v>—</v>
      </c>
      <c r="T57" s="68">
        <f t="shared" si="7"/>
        <v>1.25</v>
      </c>
      <c r="U57" s="69">
        <f t="shared" si="8"/>
        <v>2296.25</v>
      </c>
      <c r="V57" s="57">
        <f t="shared" si="9"/>
        <v>6879.583333333333</v>
      </c>
    </row>
    <row r="58" spans="1:22" ht="15" customHeight="1" x14ac:dyDescent="0.35">
      <c r="A58" s="70">
        <v>54</v>
      </c>
      <c r="B58" s="22" t="s">
        <v>148</v>
      </c>
      <c r="C58" s="22">
        <v>6</v>
      </c>
      <c r="D58" s="49" t="str">
        <f>VLOOKUP(B58,rep_roster!$A:$B,2,0)</f>
        <v>Kevin O'Brien</v>
      </c>
      <c r="E58" s="58" t="str">
        <f>VLOOKUP(B58,rep_roster!$A:$C,3,0)</f>
        <v>SDR</v>
      </c>
      <c r="F58" s="58" t="str">
        <f>VLOOKUP(B58,rep_roster!$A:$D,4,0)</f>
        <v>Mid-Market</v>
      </c>
      <c r="G58" s="58" t="str">
        <f>INDEX({"Jan","Feb","Mar","Apr","May","Jun","Jul","Aug","Sep","Oct","Nov","Dec"},C58)</f>
        <v>Jun</v>
      </c>
      <c r="H58" s="70">
        <v>2025</v>
      </c>
      <c r="I58" s="50">
        <f>IFERROR(VLOOKUP(E58&amp;"_"&amp;F58,plan_catalog!$A:$D,4,0)/12,0)</f>
        <v>4583.333333333333</v>
      </c>
      <c r="J58" s="33">
        <v>10</v>
      </c>
      <c r="K58" s="33">
        <v>10</v>
      </c>
      <c r="L58" s="59">
        <f t="shared" si="5"/>
        <v>1</v>
      </c>
      <c r="M58" s="49" t="str">
        <f>IFERROR(VLOOKUP(B58,rep_roster!$A:$L,12,0),E58&amp;"_"&amp;F58)</f>
        <v>SDR_Mid-Market</v>
      </c>
      <c r="N58" s="71">
        <f>IFERROR(VLOOKUP(M58,plan_catalog!$A:$G,7,0),0)</f>
        <v>167</v>
      </c>
      <c r="O58" s="50">
        <f t="shared" si="6"/>
        <v>1670</v>
      </c>
      <c r="P58" s="72">
        <f>IFERROR(VLOOKUP(M58,plan_catalog!$A:$I,9,0),0)</f>
        <v>1.1000000000000001</v>
      </c>
      <c r="Q58" s="73">
        <f>IFERROR(VLOOKUP(M58,plan_catalog!$A:$J,10,0),1)</f>
        <v>1.25</v>
      </c>
      <c r="R58" s="72" t="str">
        <f>IFERROR(VLOOKUP(M58,plan_catalog!$A:$K,11,0),0)</f>
        <v>—</v>
      </c>
      <c r="S58" s="73" t="str">
        <f>IFERROR(VLOOKUP(M58,plan_catalog!$A:$L,12,0),1)</f>
        <v>—</v>
      </c>
      <c r="T58" s="74">
        <f t="shared" si="7"/>
        <v>1</v>
      </c>
      <c r="U58" s="69">
        <f t="shared" si="8"/>
        <v>1670</v>
      </c>
      <c r="V58" s="57">
        <f t="shared" si="9"/>
        <v>6253.333333333333</v>
      </c>
    </row>
    <row r="59" spans="1:22" ht="15" customHeight="1" x14ac:dyDescent="0.35">
      <c r="A59" s="64">
        <v>55</v>
      </c>
      <c r="B59" s="25" t="s">
        <v>148</v>
      </c>
      <c r="C59" s="25">
        <v>7</v>
      </c>
      <c r="D59" s="52" t="str">
        <f>VLOOKUP(B59,rep_roster!$A:$B,2,0)</f>
        <v>Kevin O'Brien</v>
      </c>
      <c r="E59" s="61" t="str">
        <f>VLOOKUP(B59,rep_roster!$A:$C,3,0)</f>
        <v>SDR</v>
      </c>
      <c r="F59" s="61" t="str">
        <f>VLOOKUP(B59,rep_roster!$A:$D,4,0)</f>
        <v>Mid-Market</v>
      </c>
      <c r="G59" s="61" t="str">
        <f>INDEX({"Jan","Feb","Mar","Apr","May","Jun","Jul","Aug","Sep","Oct","Nov","Dec"},C59)</f>
        <v>Jul</v>
      </c>
      <c r="H59" s="64">
        <v>2025</v>
      </c>
      <c r="I59" s="53">
        <f>IFERROR(VLOOKUP(E59&amp;"_"&amp;F59,plan_catalog!$A:$D,4,0)/12,0)</f>
        <v>4583.333333333333</v>
      </c>
      <c r="J59" s="39">
        <v>10</v>
      </c>
      <c r="K59" s="39">
        <v>8</v>
      </c>
      <c r="L59" s="62">
        <f t="shared" si="5"/>
        <v>0.8</v>
      </c>
      <c r="M59" s="52" t="str">
        <f>IFERROR(VLOOKUP(B59,rep_roster!$A:$L,12,0),E59&amp;"_"&amp;F59)</f>
        <v>SDR_Mid-Market</v>
      </c>
      <c r="N59" s="65">
        <f>IFERROR(VLOOKUP(M59,plan_catalog!$A:$G,7,0),0)</f>
        <v>167</v>
      </c>
      <c r="O59" s="53">
        <f t="shared" si="6"/>
        <v>1336</v>
      </c>
      <c r="P59" s="66">
        <f>IFERROR(VLOOKUP(M59,plan_catalog!$A:$I,9,0),0)</f>
        <v>1.1000000000000001</v>
      </c>
      <c r="Q59" s="67">
        <f>IFERROR(VLOOKUP(M59,plan_catalog!$A:$J,10,0),1)</f>
        <v>1.25</v>
      </c>
      <c r="R59" s="66" t="str">
        <f>IFERROR(VLOOKUP(M59,plan_catalog!$A:$K,11,0),0)</f>
        <v>—</v>
      </c>
      <c r="S59" s="67" t="str">
        <f>IFERROR(VLOOKUP(M59,plan_catalog!$A:$L,12,0),1)</f>
        <v>—</v>
      </c>
      <c r="T59" s="68">
        <f t="shared" si="7"/>
        <v>1</v>
      </c>
      <c r="U59" s="69">
        <f t="shared" si="8"/>
        <v>1336</v>
      </c>
      <c r="V59" s="57">
        <f t="shared" si="9"/>
        <v>5919.333333333333</v>
      </c>
    </row>
    <row r="60" spans="1:22" ht="15" customHeight="1" x14ac:dyDescent="0.35">
      <c r="A60" s="70">
        <v>56</v>
      </c>
      <c r="B60" s="22" t="s">
        <v>148</v>
      </c>
      <c r="C60" s="22">
        <v>8</v>
      </c>
      <c r="D60" s="49" t="str">
        <f>VLOOKUP(B60,rep_roster!$A:$B,2,0)</f>
        <v>Kevin O'Brien</v>
      </c>
      <c r="E60" s="58" t="str">
        <f>VLOOKUP(B60,rep_roster!$A:$C,3,0)</f>
        <v>SDR</v>
      </c>
      <c r="F60" s="58" t="str">
        <f>VLOOKUP(B60,rep_roster!$A:$D,4,0)</f>
        <v>Mid-Market</v>
      </c>
      <c r="G60" s="58" t="str">
        <f>INDEX({"Jan","Feb","Mar","Apr","May","Jun","Jul","Aug","Sep","Oct","Nov","Dec"},C60)</f>
        <v>Aug</v>
      </c>
      <c r="H60" s="70">
        <v>2025</v>
      </c>
      <c r="I60" s="50">
        <f>IFERROR(VLOOKUP(E60&amp;"_"&amp;F60,plan_catalog!$A:$D,4,0)/12,0)</f>
        <v>4583.333333333333</v>
      </c>
      <c r="J60" s="33">
        <v>10</v>
      </c>
      <c r="K60" s="33">
        <v>5</v>
      </c>
      <c r="L60" s="59">
        <f t="shared" si="5"/>
        <v>0.5</v>
      </c>
      <c r="M60" s="49" t="str">
        <f>IFERROR(VLOOKUP(B60,rep_roster!$A:$L,12,0),E60&amp;"_"&amp;F60)</f>
        <v>SDR_Mid-Market</v>
      </c>
      <c r="N60" s="71">
        <f>IFERROR(VLOOKUP(M60,plan_catalog!$A:$G,7,0),0)</f>
        <v>167</v>
      </c>
      <c r="O60" s="50">
        <f t="shared" si="6"/>
        <v>835</v>
      </c>
      <c r="P60" s="72">
        <f>IFERROR(VLOOKUP(M60,plan_catalog!$A:$I,9,0),0)</f>
        <v>1.1000000000000001</v>
      </c>
      <c r="Q60" s="73">
        <f>IFERROR(VLOOKUP(M60,plan_catalog!$A:$J,10,0),1)</f>
        <v>1.25</v>
      </c>
      <c r="R60" s="72" t="str">
        <f>IFERROR(VLOOKUP(M60,plan_catalog!$A:$K,11,0),0)</f>
        <v>—</v>
      </c>
      <c r="S60" s="73" t="str">
        <f>IFERROR(VLOOKUP(M60,plan_catalog!$A:$L,12,0),1)</f>
        <v>—</v>
      </c>
      <c r="T60" s="74">
        <f t="shared" si="7"/>
        <v>1</v>
      </c>
      <c r="U60" s="69">
        <f t="shared" si="8"/>
        <v>835</v>
      </c>
      <c r="V60" s="57">
        <f t="shared" si="9"/>
        <v>5418.333333333333</v>
      </c>
    </row>
    <row r="61" spans="1:22" ht="15" customHeight="1" x14ac:dyDescent="0.35">
      <c r="A61" s="64">
        <v>57</v>
      </c>
      <c r="B61" s="25" t="s">
        <v>150</v>
      </c>
      <c r="C61" s="25">
        <v>1</v>
      </c>
      <c r="D61" s="52" t="str">
        <f>VLOOKUP(B61,rep_roster!$A:$B,2,0)</f>
        <v>Aisha Johnson</v>
      </c>
      <c r="E61" s="61" t="str">
        <f>VLOOKUP(B61,rep_roster!$A:$C,3,0)</f>
        <v>SDR</v>
      </c>
      <c r="F61" s="61" t="str">
        <f>VLOOKUP(B61,rep_roster!$A:$D,4,0)</f>
        <v>Mid-Market</v>
      </c>
      <c r="G61" s="61" t="str">
        <f>INDEX({"Jan","Feb","Mar","Apr","May","Jun","Jul","Aug","Sep","Oct","Nov","Dec"},C61)</f>
        <v>Jan</v>
      </c>
      <c r="H61" s="64">
        <v>2025</v>
      </c>
      <c r="I61" s="53">
        <f>IFERROR(VLOOKUP(E61&amp;"_"&amp;F61,plan_catalog!$A:$D,4,0)/12,0)</f>
        <v>4583.333333333333</v>
      </c>
      <c r="J61" s="39">
        <v>10</v>
      </c>
      <c r="K61" s="39">
        <v>12</v>
      </c>
      <c r="L61" s="62">
        <f t="shared" si="5"/>
        <v>1.2</v>
      </c>
      <c r="M61" s="52" t="str">
        <f>IFERROR(VLOOKUP(B61,rep_roster!$A:$L,12,0),E61&amp;"_"&amp;F61)</f>
        <v>SDR_Mid-Market</v>
      </c>
      <c r="N61" s="65">
        <f>IFERROR(VLOOKUP(M61,plan_catalog!$A:$G,7,0),0)</f>
        <v>167</v>
      </c>
      <c r="O61" s="53">
        <f t="shared" si="6"/>
        <v>2004</v>
      </c>
      <c r="P61" s="66">
        <f>IFERROR(VLOOKUP(M61,plan_catalog!$A:$I,9,0),0)</f>
        <v>1.1000000000000001</v>
      </c>
      <c r="Q61" s="67">
        <f>IFERROR(VLOOKUP(M61,plan_catalog!$A:$J,10,0),1)</f>
        <v>1.25</v>
      </c>
      <c r="R61" s="66" t="str">
        <f>IFERROR(VLOOKUP(M61,plan_catalog!$A:$K,11,0),0)</f>
        <v>—</v>
      </c>
      <c r="S61" s="67" t="str">
        <f>IFERROR(VLOOKUP(M61,plan_catalog!$A:$L,12,0),1)</f>
        <v>—</v>
      </c>
      <c r="T61" s="68">
        <f t="shared" si="7"/>
        <v>1.25</v>
      </c>
      <c r="U61" s="69">
        <f t="shared" si="8"/>
        <v>2505</v>
      </c>
      <c r="V61" s="57">
        <f t="shared" si="9"/>
        <v>7088.333333333333</v>
      </c>
    </row>
    <row r="62" spans="1:22" ht="15" customHeight="1" x14ac:dyDescent="0.35">
      <c r="A62" s="70">
        <v>58</v>
      </c>
      <c r="B62" s="22" t="s">
        <v>150</v>
      </c>
      <c r="C62" s="22">
        <v>2</v>
      </c>
      <c r="D62" s="49" t="str">
        <f>VLOOKUP(B62,rep_roster!$A:$B,2,0)</f>
        <v>Aisha Johnson</v>
      </c>
      <c r="E62" s="58" t="str">
        <f>VLOOKUP(B62,rep_roster!$A:$C,3,0)</f>
        <v>SDR</v>
      </c>
      <c r="F62" s="58" t="str">
        <f>VLOOKUP(B62,rep_roster!$A:$D,4,0)</f>
        <v>Mid-Market</v>
      </c>
      <c r="G62" s="58" t="str">
        <f>INDEX({"Jan","Feb","Mar","Apr","May","Jun","Jul","Aug","Sep","Oct","Nov","Dec"},C62)</f>
        <v>Feb</v>
      </c>
      <c r="H62" s="70">
        <v>2025</v>
      </c>
      <c r="I62" s="50">
        <f>IFERROR(VLOOKUP(E62&amp;"_"&amp;F62,plan_catalog!$A:$D,4,0)/12,0)</f>
        <v>4583.333333333333</v>
      </c>
      <c r="J62" s="33">
        <v>10</v>
      </c>
      <c r="K62" s="33">
        <v>12</v>
      </c>
      <c r="L62" s="59">
        <f t="shared" si="5"/>
        <v>1.2</v>
      </c>
      <c r="M62" s="49" t="str">
        <f>IFERROR(VLOOKUP(B62,rep_roster!$A:$L,12,0),E62&amp;"_"&amp;F62)</f>
        <v>SDR_Mid-Market</v>
      </c>
      <c r="N62" s="71">
        <f>IFERROR(VLOOKUP(M62,plan_catalog!$A:$G,7,0),0)</f>
        <v>167</v>
      </c>
      <c r="O62" s="50">
        <f t="shared" si="6"/>
        <v>2004</v>
      </c>
      <c r="P62" s="72">
        <f>IFERROR(VLOOKUP(M62,plan_catalog!$A:$I,9,0),0)</f>
        <v>1.1000000000000001</v>
      </c>
      <c r="Q62" s="73">
        <f>IFERROR(VLOOKUP(M62,plan_catalog!$A:$J,10,0),1)</f>
        <v>1.25</v>
      </c>
      <c r="R62" s="72" t="str">
        <f>IFERROR(VLOOKUP(M62,plan_catalog!$A:$K,11,0),0)</f>
        <v>—</v>
      </c>
      <c r="S62" s="73" t="str">
        <f>IFERROR(VLOOKUP(M62,plan_catalog!$A:$L,12,0),1)</f>
        <v>—</v>
      </c>
      <c r="T62" s="74">
        <f t="shared" si="7"/>
        <v>1.25</v>
      </c>
      <c r="U62" s="69">
        <f t="shared" si="8"/>
        <v>2505</v>
      </c>
      <c r="V62" s="57">
        <f t="shared" si="9"/>
        <v>7088.333333333333</v>
      </c>
    </row>
    <row r="63" spans="1:22" ht="15" customHeight="1" x14ac:dyDescent="0.35">
      <c r="A63" s="64">
        <v>59</v>
      </c>
      <c r="B63" s="25" t="s">
        <v>150</v>
      </c>
      <c r="C63" s="25">
        <v>3</v>
      </c>
      <c r="D63" s="52" t="str">
        <f>VLOOKUP(B63,rep_roster!$A:$B,2,0)</f>
        <v>Aisha Johnson</v>
      </c>
      <c r="E63" s="61" t="str">
        <f>VLOOKUP(B63,rep_roster!$A:$C,3,0)</f>
        <v>SDR</v>
      </c>
      <c r="F63" s="61" t="str">
        <f>VLOOKUP(B63,rep_roster!$A:$D,4,0)</f>
        <v>Mid-Market</v>
      </c>
      <c r="G63" s="61" t="str">
        <f>INDEX({"Jan","Feb","Mar","Apr","May","Jun","Jul","Aug","Sep","Oct","Nov","Dec"},C63)</f>
        <v>Mar</v>
      </c>
      <c r="H63" s="64">
        <v>2025</v>
      </c>
      <c r="I63" s="53">
        <f>IFERROR(VLOOKUP(E63&amp;"_"&amp;F63,plan_catalog!$A:$D,4,0)/12,0)</f>
        <v>4583.333333333333</v>
      </c>
      <c r="J63" s="39">
        <v>10</v>
      </c>
      <c r="K63" s="39">
        <v>14</v>
      </c>
      <c r="L63" s="62">
        <f t="shared" si="5"/>
        <v>1.4</v>
      </c>
      <c r="M63" s="52" t="str">
        <f>IFERROR(VLOOKUP(B63,rep_roster!$A:$L,12,0),E63&amp;"_"&amp;F63)</f>
        <v>SDR_Mid-Market</v>
      </c>
      <c r="N63" s="65">
        <f>IFERROR(VLOOKUP(M63,plan_catalog!$A:$G,7,0),0)</f>
        <v>167</v>
      </c>
      <c r="O63" s="53">
        <f t="shared" si="6"/>
        <v>2338</v>
      </c>
      <c r="P63" s="66">
        <f>IFERROR(VLOOKUP(M63,plan_catalog!$A:$I,9,0),0)</f>
        <v>1.1000000000000001</v>
      </c>
      <c r="Q63" s="67">
        <f>IFERROR(VLOOKUP(M63,plan_catalog!$A:$J,10,0),1)</f>
        <v>1.25</v>
      </c>
      <c r="R63" s="66" t="str">
        <f>IFERROR(VLOOKUP(M63,plan_catalog!$A:$K,11,0),0)</f>
        <v>—</v>
      </c>
      <c r="S63" s="67" t="str">
        <f>IFERROR(VLOOKUP(M63,plan_catalog!$A:$L,12,0),1)</f>
        <v>—</v>
      </c>
      <c r="T63" s="68">
        <f t="shared" si="7"/>
        <v>1.25</v>
      </c>
      <c r="U63" s="69">
        <f t="shared" si="8"/>
        <v>2922.5</v>
      </c>
      <c r="V63" s="57">
        <f t="shared" si="9"/>
        <v>7505.833333333333</v>
      </c>
    </row>
    <row r="64" spans="1:22" ht="15" customHeight="1" x14ac:dyDescent="0.35">
      <c r="A64" s="70">
        <v>60</v>
      </c>
      <c r="B64" s="22" t="s">
        <v>150</v>
      </c>
      <c r="C64" s="22">
        <v>4</v>
      </c>
      <c r="D64" s="49" t="str">
        <f>VLOOKUP(B64,rep_roster!$A:$B,2,0)</f>
        <v>Aisha Johnson</v>
      </c>
      <c r="E64" s="58" t="str">
        <f>VLOOKUP(B64,rep_roster!$A:$C,3,0)</f>
        <v>SDR</v>
      </c>
      <c r="F64" s="58" t="str">
        <f>VLOOKUP(B64,rep_roster!$A:$D,4,0)</f>
        <v>Mid-Market</v>
      </c>
      <c r="G64" s="58" t="str">
        <f>INDEX({"Jan","Feb","Mar","Apr","May","Jun","Jul","Aug","Sep","Oct","Nov","Dec"},C64)</f>
        <v>Apr</v>
      </c>
      <c r="H64" s="70">
        <v>2025</v>
      </c>
      <c r="I64" s="50">
        <f>IFERROR(VLOOKUP(E64&amp;"_"&amp;F64,plan_catalog!$A:$D,4,0)/12,0)</f>
        <v>4583.333333333333</v>
      </c>
      <c r="J64" s="33">
        <v>10</v>
      </c>
      <c r="K64" s="33">
        <v>11</v>
      </c>
      <c r="L64" s="59">
        <f t="shared" si="5"/>
        <v>1.1000000000000001</v>
      </c>
      <c r="M64" s="49" t="str">
        <f>IFERROR(VLOOKUP(B64,rep_roster!$A:$L,12,0),E64&amp;"_"&amp;F64)</f>
        <v>SDR_Mid-Market</v>
      </c>
      <c r="N64" s="71">
        <f>IFERROR(VLOOKUP(M64,plan_catalog!$A:$G,7,0),0)</f>
        <v>167</v>
      </c>
      <c r="O64" s="50">
        <f t="shared" si="6"/>
        <v>1837</v>
      </c>
      <c r="P64" s="72">
        <f>IFERROR(VLOOKUP(M64,plan_catalog!$A:$I,9,0),0)</f>
        <v>1.1000000000000001</v>
      </c>
      <c r="Q64" s="73">
        <f>IFERROR(VLOOKUP(M64,plan_catalog!$A:$J,10,0),1)</f>
        <v>1.25</v>
      </c>
      <c r="R64" s="72" t="str">
        <f>IFERROR(VLOOKUP(M64,plan_catalog!$A:$K,11,0),0)</f>
        <v>—</v>
      </c>
      <c r="S64" s="73" t="str">
        <f>IFERROR(VLOOKUP(M64,plan_catalog!$A:$L,12,0),1)</f>
        <v>—</v>
      </c>
      <c r="T64" s="74">
        <f t="shared" si="7"/>
        <v>1.25</v>
      </c>
      <c r="U64" s="69">
        <f t="shared" si="8"/>
        <v>2296.25</v>
      </c>
      <c r="V64" s="57">
        <f t="shared" si="9"/>
        <v>6879.583333333333</v>
      </c>
    </row>
    <row r="65" spans="1:22" ht="15" customHeight="1" x14ac:dyDescent="0.35">
      <c r="A65" s="64">
        <v>61</v>
      </c>
      <c r="B65" s="25" t="s">
        <v>150</v>
      </c>
      <c r="C65" s="25">
        <v>5</v>
      </c>
      <c r="D65" s="52" t="str">
        <f>VLOOKUP(B65,rep_roster!$A:$B,2,0)</f>
        <v>Aisha Johnson</v>
      </c>
      <c r="E65" s="61" t="str">
        <f>VLOOKUP(B65,rep_roster!$A:$C,3,0)</f>
        <v>SDR</v>
      </c>
      <c r="F65" s="61" t="str">
        <f>VLOOKUP(B65,rep_roster!$A:$D,4,0)</f>
        <v>Mid-Market</v>
      </c>
      <c r="G65" s="61" t="str">
        <f>INDEX({"Jan","Feb","Mar","Apr","May","Jun","Jul","Aug","Sep","Oct","Nov","Dec"},C65)</f>
        <v>May</v>
      </c>
      <c r="H65" s="64">
        <v>2025</v>
      </c>
      <c r="I65" s="53">
        <f>IFERROR(VLOOKUP(E65&amp;"_"&amp;F65,plan_catalog!$A:$D,4,0)/12,0)</f>
        <v>4583.333333333333</v>
      </c>
      <c r="J65" s="39">
        <v>10</v>
      </c>
      <c r="K65" s="39">
        <v>12</v>
      </c>
      <c r="L65" s="62">
        <f t="shared" si="5"/>
        <v>1.2</v>
      </c>
      <c r="M65" s="52" t="str">
        <f>IFERROR(VLOOKUP(B65,rep_roster!$A:$L,12,0),E65&amp;"_"&amp;F65)</f>
        <v>SDR_Mid-Market</v>
      </c>
      <c r="N65" s="65">
        <f>IFERROR(VLOOKUP(M65,plan_catalog!$A:$G,7,0),0)</f>
        <v>167</v>
      </c>
      <c r="O65" s="53">
        <f t="shared" si="6"/>
        <v>2004</v>
      </c>
      <c r="P65" s="66">
        <f>IFERROR(VLOOKUP(M65,plan_catalog!$A:$I,9,0),0)</f>
        <v>1.1000000000000001</v>
      </c>
      <c r="Q65" s="67">
        <f>IFERROR(VLOOKUP(M65,plan_catalog!$A:$J,10,0),1)</f>
        <v>1.25</v>
      </c>
      <c r="R65" s="66" t="str">
        <f>IFERROR(VLOOKUP(M65,plan_catalog!$A:$K,11,0),0)</f>
        <v>—</v>
      </c>
      <c r="S65" s="67" t="str">
        <f>IFERROR(VLOOKUP(M65,plan_catalog!$A:$L,12,0),1)</f>
        <v>—</v>
      </c>
      <c r="T65" s="68">
        <f t="shared" si="7"/>
        <v>1.25</v>
      </c>
      <c r="U65" s="69">
        <f t="shared" si="8"/>
        <v>2505</v>
      </c>
      <c r="V65" s="57">
        <f t="shared" si="9"/>
        <v>7088.333333333333</v>
      </c>
    </row>
    <row r="66" spans="1:22" ht="15" customHeight="1" x14ac:dyDescent="0.35">
      <c r="A66" s="70">
        <v>62</v>
      </c>
      <c r="B66" s="22" t="s">
        <v>150</v>
      </c>
      <c r="C66" s="22">
        <v>6</v>
      </c>
      <c r="D66" s="49" t="str">
        <f>VLOOKUP(B66,rep_roster!$A:$B,2,0)</f>
        <v>Aisha Johnson</v>
      </c>
      <c r="E66" s="58" t="str">
        <f>VLOOKUP(B66,rep_roster!$A:$C,3,0)</f>
        <v>SDR</v>
      </c>
      <c r="F66" s="58" t="str">
        <f>VLOOKUP(B66,rep_roster!$A:$D,4,0)</f>
        <v>Mid-Market</v>
      </c>
      <c r="G66" s="58" t="str">
        <f>INDEX({"Jan","Feb","Mar","Apr","May","Jun","Jul","Aug","Sep","Oct","Nov","Dec"},C66)</f>
        <v>Jun</v>
      </c>
      <c r="H66" s="70">
        <v>2025</v>
      </c>
      <c r="I66" s="50">
        <f>IFERROR(VLOOKUP(E66&amp;"_"&amp;F66,plan_catalog!$A:$D,4,0)/12,0)</f>
        <v>4583.333333333333</v>
      </c>
      <c r="J66" s="33">
        <v>10</v>
      </c>
      <c r="K66" s="33">
        <v>11</v>
      </c>
      <c r="L66" s="59">
        <f t="shared" si="5"/>
        <v>1.1000000000000001</v>
      </c>
      <c r="M66" s="49" t="str">
        <f>IFERROR(VLOOKUP(B66,rep_roster!$A:$L,12,0),E66&amp;"_"&amp;F66)</f>
        <v>SDR_Mid-Market</v>
      </c>
      <c r="N66" s="71">
        <f>IFERROR(VLOOKUP(M66,plan_catalog!$A:$G,7,0),0)</f>
        <v>167</v>
      </c>
      <c r="O66" s="50">
        <f t="shared" si="6"/>
        <v>1837</v>
      </c>
      <c r="P66" s="72">
        <f>IFERROR(VLOOKUP(M66,plan_catalog!$A:$I,9,0),0)</f>
        <v>1.1000000000000001</v>
      </c>
      <c r="Q66" s="73">
        <f>IFERROR(VLOOKUP(M66,plan_catalog!$A:$J,10,0),1)</f>
        <v>1.25</v>
      </c>
      <c r="R66" s="72" t="str">
        <f>IFERROR(VLOOKUP(M66,plan_catalog!$A:$K,11,0),0)</f>
        <v>—</v>
      </c>
      <c r="S66" s="73" t="str">
        <f>IFERROR(VLOOKUP(M66,plan_catalog!$A:$L,12,0),1)</f>
        <v>—</v>
      </c>
      <c r="T66" s="74">
        <f t="shared" si="7"/>
        <v>1.25</v>
      </c>
      <c r="U66" s="69">
        <f t="shared" si="8"/>
        <v>2296.25</v>
      </c>
      <c r="V66" s="57">
        <f t="shared" si="9"/>
        <v>6879.583333333333</v>
      </c>
    </row>
    <row r="67" spans="1:22" ht="15" customHeight="1" x14ac:dyDescent="0.35">
      <c r="A67" s="64">
        <v>63</v>
      </c>
      <c r="B67" s="25" t="s">
        <v>150</v>
      </c>
      <c r="C67" s="25">
        <v>7</v>
      </c>
      <c r="D67" s="52" t="str">
        <f>VLOOKUP(B67,rep_roster!$A:$B,2,0)</f>
        <v>Aisha Johnson</v>
      </c>
      <c r="E67" s="61" t="str">
        <f>VLOOKUP(B67,rep_roster!$A:$C,3,0)</f>
        <v>SDR</v>
      </c>
      <c r="F67" s="61" t="str">
        <f>VLOOKUP(B67,rep_roster!$A:$D,4,0)</f>
        <v>Mid-Market</v>
      </c>
      <c r="G67" s="61" t="str">
        <f>INDEX({"Jan","Feb","Mar","Apr","May","Jun","Jul","Aug","Sep","Oct","Nov","Dec"},C67)</f>
        <v>Jul</v>
      </c>
      <c r="H67" s="64">
        <v>2025</v>
      </c>
      <c r="I67" s="53">
        <f>IFERROR(VLOOKUP(E67&amp;"_"&amp;F67,plan_catalog!$A:$D,4,0)/12,0)</f>
        <v>4583.333333333333</v>
      </c>
      <c r="J67" s="39">
        <v>10</v>
      </c>
      <c r="K67" s="39">
        <v>9</v>
      </c>
      <c r="L67" s="62">
        <f t="shared" si="5"/>
        <v>0.9</v>
      </c>
      <c r="M67" s="52" t="str">
        <f>IFERROR(VLOOKUP(B67,rep_roster!$A:$L,12,0),E67&amp;"_"&amp;F67)</f>
        <v>SDR_Mid-Market</v>
      </c>
      <c r="N67" s="65">
        <f>IFERROR(VLOOKUP(M67,plan_catalog!$A:$G,7,0),0)</f>
        <v>167</v>
      </c>
      <c r="O67" s="53">
        <f t="shared" si="6"/>
        <v>1503</v>
      </c>
      <c r="P67" s="66">
        <f>IFERROR(VLOOKUP(M67,plan_catalog!$A:$I,9,0),0)</f>
        <v>1.1000000000000001</v>
      </c>
      <c r="Q67" s="67">
        <f>IFERROR(VLOOKUP(M67,plan_catalog!$A:$J,10,0),1)</f>
        <v>1.25</v>
      </c>
      <c r="R67" s="66" t="str">
        <f>IFERROR(VLOOKUP(M67,plan_catalog!$A:$K,11,0),0)</f>
        <v>—</v>
      </c>
      <c r="S67" s="67" t="str">
        <f>IFERROR(VLOOKUP(M67,plan_catalog!$A:$L,12,0),1)</f>
        <v>—</v>
      </c>
      <c r="T67" s="68">
        <f t="shared" si="7"/>
        <v>1</v>
      </c>
      <c r="U67" s="69">
        <f t="shared" si="8"/>
        <v>1503</v>
      </c>
      <c r="V67" s="57">
        <f t="shared" si="9"/>
        <v>6086.333333333333</v>
      </c>
    </row>
    <row r="68" spans="1:22" ht="15" customHeight="1" x14ac:dyDescent="0.35">
      <c r="A68" s="70">
        <v>64</v>
      </c>
      <c r="B68" s="22" t="s">
        <v>150</v>
      </c>
      <c r="C68" s="22">
        <v>8</v>
      </c>
      <c r="D68" s="49" t="str">
        <f>VLOOKUP(B68,rep_roster!$A:$B,2,0)</f>
        <v>Aisha Johnson</v>
      </c>
      <c r="E68" s="58" t="str">
        <f>VLOOKUP(B68,rep_roster!$A:$C,3,0)</f>
        <v>SDR</v>
      </c>
      <c r="F68" s="58" t="str">
        <f>VLOOKUP(B68,rep_roster!$A:$D,4,0)</f>
        <v>Mid-Market</v>
      </c>
      <c r="G68" s="58" t="str">
        <f>INDEX({"Jan","Feb","Mar","Apr","May","Jun","Jul","Aug","Sep","Oct","Nov","Dec"},C68)</f>
        <v>Aug</v>
      </c>
      <c r="H68" s="70">
        <v>2025</v>
      </c>
      <c r="I68" s="50">
        <f>IFERROR(VLOOKUP(E68&amp;"_"&amp;F68,plan_catalog!$A:$D,4,0)/12,0)</f>
        <v>4583.333333333333</v>
      </c>
      <c r="J68" s="33">
        <v>10</v>
      </c>
      <c r="K68" s="33">
        <v>8</v>
      </c>
      <c r="L68" s="59">
        <f t="shared" si="5"/>
        <v>0.8</v>
      </c>
      <c r="M68" s="49" t="str">
        <f>IFERROR(VLOOKUP(B68,rep_roster!$A:$L,12,0),E68&amp;"_"&amp;F68)</f>
        <v>SDR_Mid-Market</v>
      </c>
      <c r="N68" s="71">
        <f>IFERROR(VLOOKUP(M68,plan_catalog!$A:$G,7,0),0)</f>
        <v>167</v>
      </c>
      <c r="O68" s="50">
        <f t="shared" si="6"/>
        <v>1336</v>
      </c>
      <c r="P68" s="72">
        <f>IFERROR(VLOOKUP(M68,plan_catalog!$A:$I,9,0),0)</f>
        <v>1.1000000000000001</v>
      </c>
      <c r="Q68" s="73">
        <f>IFERROR(VLOOKUP(M68,plan_catalog!$A:$J,10,0),1)</f>
        <v>1.25</v>
      </c>
      <c r="R68" s="72" t="str">
        <f>IFERROR(VLOOKUP(M68,plan_catalog!$A:$K,11,0),0)</f>
        <v>—</v>
      </c>
      <c r="S68" s="73" t="str">
        <f>IFERROR(VLOOKUP(M68,plan_catalog!$A:$L,12,0),1)</f>
        <v>—</v>
      </c>
      <c r="T68" s="74">
        <f t="shared" si="7"/>
        <v>1</v>
      </c>
      <c r="U68" s="69">
        <f t="shared" si="8"/>
        <v>1336</v>
      </c>
      <c r="V68" s="57">
        <f t="shared" si="9"/>
        <v>5919.333333333333</v>
      </c>
    </row>
    <row r="69" spans="1:22" ht="15" customHeight="1" x14ac:dyDescent="0.35">
      <c r="A69" s="64">
        <v>65</v>
      </c>
      <c r="B69" s="25" t="s">
        <v>150</v>
      </c>
      <c r="C69" s="25">
        <v>9</v>
      </c>
      <c r="D69" s="52" t="str">
        <f>VLOOKUP(B69,rep_roster!$A:$B,2,0)</f>
        <v>Aisha Johnson</v>
      </c>
      <c r="E69" s="61" t="str">
        <f>VLOOKUP(B69,rep_roster!$A:$C,3,0)</f>
        <v>SDR</v>
      </c>
      <c r="F69" s="61" t="str">
        <f>VLOOKUP(B69,rep_roster!$A:$D,4,0)</f>
        <v>Mid-Market</v>
      </c>
      <c r="G69" s="61" t="str">
        <f>INDEX({"Jan","Feb","Mar","Apr","May","Jun","Jul","Aug","Sep","Oct","Nov","Dec"},C69)</f>
        <v>Sep</v>
      </c>
      <c r="H69" s="64">
        <v>2025</v>
      </c>
      <c r="I69" s="53">
        <f>IFERROR(VLOOKUP(E69&amp;"_"&amp;F69,plan_catalog!$A:$D,4,0)/12,0)</f>
        <v>4583.333333333333</v>
      </c>
      <c r="J69" s="39">
        <v>10</v>
      </c>
      <c r="K69" s="39">
        <v>10</v>
      </c>
      <c r="L69" s="62">
        <f t="shared" ref="L69:L100" si="10">IF(J69&gt;0,K69/J69,0)</f>
        <v>1</v>
      </c>
      <c r="M69" s="52" t="str">
        <f>IFERROR(VLOOKUP(B69,rep_roster!$A:$L,12,0),E69&amp;"_"&amp;F69)</f>
        <v>SDR_Mid-Market</v>
      </c>
      <c r="N69" s="65">
        <f>IFERROR(VLOOKUP(M69,plan_catalog!$A:$G,7,0),0)</f>
        <v>167</v>
      </c>
      <c r="O69" s="53">
        <f t="shared" ref="O69:O100" si="11">K69*N69</f>
        <v>1670</v>
      </c>
      <c r="P69" s="66">
        <f>IFERROR(VLOOKUP(M69,plan_catalog!$A:$I,9,0),0)</f>
        <v>1.1000000000000001</v>
      </c>
      <c r="Q69" s="67">
        <f>IFERROR(VLOOKUP(M69,plan_catalog!$A:$J,10,0),1)</f>
        <v>1.25</v>
      </c>
      <c r="R69" s="66" t="str">
        <f>IFERROR(VLOOKUP(M69,plan_catalog!$A:$K,11,0),0)</f>
        <v>—</v>
      </c>
      <c r="S69" s="67" t="str">
        <f>IFERROR(VLOOKUP(M69,plan_catalog!$A:$L,12,0),1)</f>
        <v>—</v>
      </c>
      <c r="T69" s="68">
        <f t="shared" ref="T69:T100" si="12">IF(AND(R69&gt;0,L69&gt;=R69),S69,IF(AND(P69&gt;0,L69&gt;=P69),Q69,1))</f>
        <v>1</v>
      </c>
      <c r="U69" s="69">
        <f t="shared" ref="U69:U100" si="13">O69*T69</f>
        <v>1670</v>
      </c>
      <c r="V69" s="57">
        <f t="shared" ref="V69:V100" si="14">I69+U69</f>
        <v>6253.333333333333</v>
      </c>
    </row>
    <row r="70" spans="1:22" ht="15" customHeight="1" x14ac:dyDescent="0.35">
      <c r="A70" s="70">
        <v>66</v>
      </c>
      <c r="B70" s="22" t="s">
        <v>150</v>
      </c>
      <c r="C70" s="22">
        <v>10</v>
      </c>
      <c r="D70" s="49" t="str">
        <f>VLOOKUP(B70,rep_roster!$A:$B,2,0)</f>
        <v>Aisha Johnson</v>
      </c>
      <c r="E70" s="58" t="str">
        <f>VLOOKUP(B70,rep_roster!$A:$C,3,0)</f>
        <v>SDR</v>
      </c>
      <c r="F70" s="58" t="str">
        <f>VLOOKUP(B70,rep_roster!$A:$D,4,0)</f>
        <v>Mid-Market</v>
      </c>
      <c r="G70" s="58" t="str">
        <f>INDEX({"Jan","Feb","Mar","Apr","May","Jun","Jul","Aug","Sep","Oct","Nov","Dec"},C70)</f>
        <v>Oct</v>
      </c>
      <c r="H70" s="70">
        <v>2025</v>
      </c>
      <c r="I70" s="50">
        <f>IFERROR(VLOOKUP(E70&amp;"_"&amp;F70,plan_catalog!$A:$D,4,0)/12,0)</f>
        <v>4583.333333333333</v>
      </c>
      <c r="J70" s="33">
        <v>10</v>
      </c>
      <c r="K70" s="33">
        <v>8</v>
      </c>
      <c r="L70" s="59">
        <f t="shared" si="10"/>
        <v>0.8</v>
      </c>
      <c r="M70" s="49" t="str">
        <f>IFERROR(VLOOKUP(B70,rep_roster!$A:$L,12,0),E70&amp;"_"&amp;F70)</f>
        <v>SDR_Mid-Market</v>
      </c>
      <c r="N70" s="71">
        <f>IFERROR(VLOOKUP(M70,plan_catalog!$A:$G,7,0),0)</f>
        <v>167</v>
      </c>
      <c r="O70" s="50">
        <f t="shared" si="11"/>
        <v>1336</v>
      </c>
      <c r="P70" s="72">
        <f>IFERROR(VLOOKUP(M70,plan_catalog!$A:$I,9,0),0)</f>
        <v>1.1000000000000001</v>
      </c>
      <c r="Q70" s="73">
        <f>IFERROR(VLOOKUP(M70,plan_catalog!$A:$J,10,0),1)</f>
        <v>1.25</v>
      </c>
      <c r="R70" s="72" t="str">
        <f>IFERROR(VLOOKUP(M70,plan_catalog!$A:$K,11,0),0)</f>
        <v>—</v>
      </c>
      <c r="S70" s="73" t="str">
        <f>IFERROR(VLOOKUP(M70,plan_catalog!$A:$L,12,0),1)</f>
        <v>—</v>
      </c>
      <c r="T70" s="74">
        <f t="shared" si="12"/>
        <v>1</v>
      </c>
      <c r="U70" s="69">
        <f t="shared" si="13"/>
        <v>1336</v>
      </c>
      <c r="V70" s="57">
        <f t="shared" si="14"/>
        <v>5919.333333333333</v>
      </c>
    </row>
    <row r="71" spans="1:22" ht="15" customHeight="1" x14ac:dyDescent="0.35">
      <c r="A71" s="64">
        <v>67</v>
      </c>
      <c r="B71" s="25" t="s">
        <v>150</v>
      </c>
      <c r="C71" s="25">
        <v>11</v>
      </c>
      <c r="D71" s="52" t="str">
        <f>VLOOKUP(B71,rep_roster!$A:$B,2,0)</f>
        <v>Aisha Johnson</v>
      </c>
      <c r="E71" s="61" t="str">
        <f>VLOOKUP(B71,rep_roster!$A:$C,3,0)</f>
        <v>SDR</v>
      </c>
      <c r="F71" s="61" t="str">
        <f>VLOOKUP(B71,rep_roster!$A:$D,4,0)</f>
        <v>Mid-Market</v>
      </c>
      <c r="G71" s="61" t="str">
        <f>INDEX({"Jan","Feb","Mar","Apr","May","Jun","Jul","Aug","Sep","Oct","Nov","Dec"},C71)</f>
        <v>Nov</v>
      </c>
      <c r="H71" s="64">
        <v>2025</v>
      </c>
      <c r="I71" s="53">
        <f>IFERROR(VLOOKUP(E71&amp;"_"&amp;F71,plan_catalog!$A:$D,4,0)/12,0)</f>
        <v>4583.333333333333</v>
      </c>
      <c r="J71" s="39">
        <v>10</v>
      </c>
      <c r="K71" s="39">
        <v>10</v>
      </c>
      <c r="L71" s="62">
        <f t="shared" si="10"/>
        <v>1</v>
      </c>
      <c r="M71" s="52" t="str">
        <f>IFERROR(VLOOKUP(B71,rep_roster!$A:$L,12,0),E71&amp;"_"&amp;F71)</f>
        <v>SDR_Mid-Market</v>
      </c>
      <c r="N71" s="65">
        <f>IFERROR(VLOOKUP(M71,plan_catalog!$A:$G,7,0),0)</f>
        <v>167</v>
      </c>
      <c r="O71" s="53">
        <f t="shared" si="11"/>
        <v>1670</v>
      </c>
      <c r="P71" s="66">
        <f>IFERROR(VLOOKUP(M71,plan_catalog!$A:$I,9,0),0)</f>
        <v>1.1000000000000001</v>
      </c>
      <c r="Q71" s="67">
        <f>IFERROR(VLOOKUP(M71,plan_catalog!$A:$J,10,0),1)</f>
        <v>1.25</v>
      </c>
      <c r="R71" s="66" t="str">
        <f>IFERROR(VLOOKUP(M71,plan_catalog!$A:$K,11,0),0)</f>
        <v>—</v>
      </c>
      <c r="S71" s="67" t="str">
        <f>IFERROR(VLOOKUP(M71,plan_catalog!$A:$L,12,0),1)</f>
        <v>—</v>
      </c>
      <c r="T71" s="68">
        <f t="shared" si="12"/>
        <v>1</v>
      </c>
      <c r="U71" s="69">
        <f t="shared" si="13"/>
        <v>1670</v>
      </c>
      <c r="V71" s="57">
        <f t="shared" si="14"/>
        <v>6253.333333333333</v>
      </c>
    </row>
    <row r="72" spans="1:22" ht="15" customHeight="1" x14ac:dyDescent="0.35">
      <c r="A72" s="70">
        <v>68</v>
      </c>
      <c r="B72" s="22" t="s">
        <v>150</v>
      </c>
      <c r="C72" s="22">
        <v>12</v>
      </c>
      <c r="D72" s="49" t="str">
        <f>VLOOKUP(B72,rep_roster!$A:$B,2,0)</f>
        <v>Aisha Johnson</v>
      </c>
      <c r="E72" s="58" t="str">
        <f>VLOOKUP(B72,rep_roster!$A:$C,3,0)</f>
        <v>SDR</v>
      </c>
      <c r="F72" s="58" t="str">
        <f>VLOOKUP(B72,rep_roster!$A:$D,4,0)</f>
        <v>Mid-Market</v>
      </c>
      <c r="G72" s="58" t="str">
        <f>INDEX({"Jan","Feb","Mar","Apr","May","Jun","Jul","Aug","Sep","Oct","Nov","Dec"},C72)</f>
        <v>Dec</v>
      </c>
      <c r="H72" s="70">
        <v>2025</v>
      </c>
      <c r="I72" s="50">
        <f>IFERROR(VLOOKUP(E72&amp;"_"&amp;F72,plan_catalog!$A:$D,4,0)/12,0)</f>
        <v>4583.333333333333</v>
      </c>
      <c r="J72" s="33">
        <v>10</v>
      </c>
      <c r="K72" s="33">
        <v>11</v>
      </c>
      <c r="L72" s="59">
        <f t="shared" si="10"/>
        <v>1.1000000000000001</v>
      </c>
      <c r="M72" s="49" t="str">
        <f>IFERROR(VLOOKUP(B72,rep_roster!$A:$L,12,0),E72&amp;"_"&amp;F72)</f>
        <v>SDR_Mid-Market</v>
      </c>
      <c r="N72" s="71">
        <f>IFERROR(VLOOKUP(M72,plan_catalog!$A:$G,7,0),0)</f>
        <v>167</v>
      </c>
      <c r="O72" s="50">
        <f t="shared" si="11"/>
        <v>1837</v>
      </c>
      <c r="P72" s="72">
        <f>IFERROR(VLOOKUP(M72,plan_catalog!$A:$I,9,0),0)</f>
        <v>1.1000000000000001</v>
      </c>
      <c r="Q72" s="73">
        <f>IFERROR(VLOOKUP(M72,plan_catalog!$A:$J,10,0),1)</f>
        <v>1.25</v>
      </c>
      <c r="R72" s="72" t="str">
        <f>IFERROR(VLOOKUP(M72,plan_catalog!$A:$K,11,0),0)</f>
        <v>—</v>
      </c>
      <c r="S72" s="73" t="str">
        <f>IFERROR(VLOOKUP(M72,plan_catalog!$A:$L,12,0),1)</f>
        <v>—</v>
      </c>
      <c r="T72" s="74">
        <f t="shared" si="12"/>
        <v>1.25</v>
      </c>
      <c r="U72" s="69">
        <f t="shared" si="13"/>
        <v>2296.25</v>
      </c>
      <c r="V72" s="57">
        <f t="shared" si="14"/>
        <v>6879.583333333333</v>
      </c>
    </row>
    <row r="73" spans="1:22" ht="15" customHeight="1" x14ac:dyDescent="0.35">
      <c r="A73" s="64">
        <v>69</v>
      </c>
      <c r="B73" s="25" t="s">
        <v>154</v>
      </c>
      <c r="C73" s="25">
        <v>7</v>
      </c>
      <c r="D73" s="52" t="str">
        <f>VLOOKUP(B73,rep_roster!$A:$B,2,0)</f>
        <v>Jessica Martinez</v>
      </c>
      <c r="E73" s="61" t="str">
        <f>VLOOKUP(B73,rep_roster!$A:$C,3,0)</f>
        <v>SDR</v>
      </c>
      <c r="F73" s="61" t="str">
        <f>VLOOKUP(B73,rep_roster!$A:$D,4,0)</f>
        <v>Mid-Market</v>
      </c>
      <c r="G73" s="61" t="str">
        <f>INDEX({"Jan","Feb","Mar","Apr","May","Jun","Jul","Aug","Sep","Oct","Nov","Dec"},C73)</f>
        <v>Jul</v>
      </c>
      <c r="H73" s="64">
        <v>2025</v>
      </c>
      <c r="I73" s="53">
        <f>IFERROR(VLOOKUP(E73&amp;"_"&amp;F73,plan_catalog!$A:$D,4,0)/12,0)</f>
        <v>4583.333333333333</v>
      </c>
      <c r="J73" s="39">
        <v>4</v>
      </c>
      <c r="K73" s="39">
        <v>6</v>
      </c>
      <c r="L73" s="62">
        <f t="shared" si="10"/>
        <v>1.5</v>
      </c>
      <c r="M73" s="52" t="str">
        <f>IFERROR(VLOOKUP(B73,rep_roster!$A:$L,12,0),E73&amp;"_"&amp;F73)</f>
        <v>SDR_Mid-Market</v>
      </c>
      <c r="N73" s="65">
        <f>IFERROR(VLOOKUP(M73,plan_catalog!$A:$G,7,0),0)</f>
        <v>167</v>
      </c>
      <c r="O73" s="53">
        <f t="shared" si="11"/>
        <v>1002</v>
      </c>
      <c r="P73" s="66">
        <f>IFERROR(VLOOKUP(M73,plan_catalog!$A:$I,9,0),0)</f>
        <v>1.1000000000000001</v>
      </c>
      <c r="Q73" s="67">
        <f>IFERROR(VLOOKUP(M73,plan_catalog!$A:$J,10,0),1)</f>
        <v>1.25</v>
      </c>
      <c r="R73" s="66" t="str">
        <f>IFERROR(VLOOKUP(M73,plan_catalog!$A:$K,11,0),0)</f>
        <v>—</v>
      </c>
      <c r="S73" s="67" t="str">
        <f>IFERROR(VLOOKUP(M73,plan_catalog!$A:$L,12,0),1)</f>
        <v>—</v>
      </c>
      <c r="T73" s="68">
        <f t="shared" si="12"/>
        <v>1.25</v>
      </c>
      <c r="U73" s="69">
        <f t="shared" si="13"/>
        <v>1252.5</v>
      </c>
      <c r="V73" s="57">
        <f t="shared" si="14"/>
        <v>5835.833333333333</v>
      </c>
    </row>
    <row r="74" spans="1:22" ht="15" customHeight="1" x14ac:dyDescent="0.35">
      <c r="A74" s="70">
        <v>70</v>
      </c>
      <c r="B74" s="22" t="s">
        <v>154</v>
      </c>
      <c r="C74" s="22">
        <v>8</v>
      </c>
      <c r="D74" s="49" t="str">
        <f>VLOOKUP(B74,rep_roster!$A:$B,2,0)</f>
        <v>Jessica Martinez</v>
      </c>
      <c r="E74" s="58" t="str">
        <f>VLOOKUP(B74,rep_roster!$A:$C,3,0)</f>
        <v>SDR</v>
      </c>
      <c r="F74" s="58" t="str">
        <f>VLOOKUP(B74,rep_roster!$A:$D,4,0)</f>
        <v>Mid-Market</v>
      </c>
      <c r="G74" s="58" t="str">
        <f>INDEX({"Jan","Feb","Mar","Apr","May","Jun","Jul","Aug","Sep","Oct","Nov","Dec"},C74)</f>
        <v>Aug</v>
      </c>
      <c r="H74" s="70">
        <v>2025</v>
      </c>
      <c r="I74" s="50">
        <f>IFERROR(VLOOKUP(E74&amp;"_"&amp;F74,plan_catalog!$A:$D,4,0)/12,0)</f>
        <v>4583.333333333333</v>
      </c>
      <c r="J74" s="33">
        <v>7</v>
      </c>
      <c r="K74" s="33">
        <v>8</v>
      </c>
      <c r="L74" s="59">
        <f t="shared" si="10"/>
        <v>1.1428571428571428</v>
      </c>
      <c r="M74" s="49" t="str">
        <f>IFERROR(VLOOKUP(B74,rep_roster!$A:$L,12,0),E74&amp;"_"&amp;F74)</f>
        <v>SDR_Mid-Market</v>
      </c>
      <c r="N74" s="71">
        <f>IFERROR(VLOOKUP(M74,plan_catalog!$A:$G,7,0),0)</f>
        <v>167</v>
      </c>
      <c r="O74" s="50">
        <f t="shared" si="11"/>
        <v>1336</v>
      </c>
      <c r="P74" s="72">
        <f>IFERROR(VLOOKUP(M74,plan_catalog!$A:$I,9,0),0)</f>
        <v>1.1000000000000001</v>
      </c>
      <c r="Q74" s="73">
        <f>IFERROR(VLOOKUP(M74,plan_catalog!$A:$J,10,0),1)</f>
        <v>1.25</v>
      </c>
      <c r="R74" s="72" t="str">
        <f>IFERROR(VLOOKUP(M74,plan_catalog!$A:$K,11,0),0)</f>
        <v>—</v>
      </c>
      <c r="S74" s="73" t="str">
        <f>IFERROR(VLOOKUP(M74,plan_catalog!$A:$L,12,0),1)</f>
        <v>—</v>
      </c>
      <c r="T74" s="74">
        <f t="shared" si="12"/>
        <v>1.25</v>
      </c>
      <c r="U74" s="69">
        <f t="shared" si="13"/>
        <v>1670</v>
      </c>
      <c r="V74" s="57">
        <f t="shared" si="14"/>
        <v>6253.333333333333</v>
      </c>
    </row>
    <row r="75" spans="1:22" ht="15" customHeight="1" x14ac:dyDescent="0.35">
      <c r="A75" s="64">
        <v>71</v>
      </c>
      <c r="B75" s="25" t="s">
        <v>154</v>
      </c>
      <c r="C75" s="25">
        <v>9</v>
      </c>
      <c r="D75" s="52" t="str">
        <f>VLOOKUP(B75,rep_roster!$A:$B,2,0)</f>
        <v>Jessica Martinez</v>
      </c>
      <c r="E75" s="61" t="str">
        <f>VLOOKUP(B75,rep_roster!$A:$C,3,0)</f>
        <v>SDR</v>
      </c>
      <c r="F75" s="61" t="str">
        <f>VLOOKUP(B75,rep_roster!$A:$D,4,0)</f>
        <v>Mid-Market</v>
      </c>
      <c r="G75" s="61" t="str">
        <f>INDEX({"Jan","Feb","Mar","Apr","May","Jun","Jul","Aug","Sep","Oct","Nov","Dec"},C75)</f>
        <v>Sep</v>
      </c>
      <c r="H75" s="64">
        <v>2025</v>
      </c>
      <c r="I75" s="53">
        <f>IFERROR(VLOOKUP(E75&amp;"_"&amp;F75,plan_catalog!$A:$D,4,0)/12,0)</f>
        <v>4583.333333333333</v>
      </c>
      <c r="J75" s="39">
        <v>10</v>
      </c>
      <c r="K75" s="39">
        <v>11</v>
      </c>
      <c r="L75" s="62">
        <f t="shared" si="10"/>
        <v>1.1000000000000001</v>
      </c>
      <c r="M75" s="52" t="str">
        <f>IFERROR(VLOOKUP(B75,rep_roster!$A:$L,12,0),E75&amp;"_"&amp;F75)</f>
        <v>SDR_Mid-Market</v>
      </c>
      <c r="N75" s="65">
        <f>IFERROR(VLOOKUP(M75,plan_catalog!$A:$G,7,0),0)</f>
        <v>167</v>
      </c>
      <c r="O75" s="53">
        <f t="shared" si="11"/>
        <v>1837</v>
      </c>
      <c r="P75" s="66">
        <f>IFERROR(VLOOKUP(M75,plan_catalog!$A:$I,9,0),0)</f>
        <v>1.1000000000000001</v>
      </c>
      <c r="Q75" s="67">
        <f>IFERROR(VLOOKUP(M75,plan_catalog!$A:$J,10,0),1)</f>
        <v>1.25</v>
      </c>
      <c r="R75" s="66" t="str">
        <f>IFERROR(VLOOKUP(M75,plan_catalog!$A:$K,11,0),0)</f>
        <v>—</v>
      </c>
      <c r="S75" s="67" t="str">
        <f>IFERROR(VLOOKUP(M75,plan_catalog!$A:$L,12,0),1)</f>
        <v>—</v>
      </c>
      <c r="T75" s="68">
        <f t="shared" si="12"/>
        <v>1.25</v>
      </c>
      <c r="U75" s="69">
        <f t="shared" si="13"/>
        <v>2296.25</v>
      </c>
      <c r="V75" s="57">
        <f t="shared" si="14"/>
        <v>6879.583333333333</v>
      </c>
    </row>
    <row r="76" spans="1:22" ht="15" customHeight="1" x14ac:dyDescent="0.35">
      <c r="A76" s="70">
        <v>72</v>
      </c>
      <c r="B76" s="22" t="s">
        <v>154</v>
      </c>
      <c r="C76" s="22">
        <v>10</v>
      </c>
      <c r="D76" s="49" t="str">
        <f>VLOOKUP(B76,rep_roster!$A:$B,2,0)</f>
        <v>Jessica Martinez</v>
      </c>
      <c r="E76" s="58" t="str">
        <f>VLOOKUP(B76,rep_roster!$A:$C,3,0)</f>
        <v>SDR</v>
      </c>
      <c r="F76" s="58" t="str">
        <f>VLOOKUP(B76,rep_roster!$A:$D,4,0)</f>
        <v>Mid-Market</v>
      </c>
      <c r="G76" s="58" t="str">
        <f>INDEX({"Jan","Feb","Mar","Apr","May","Jun","Jul","Aug","Sep","Oct","Nov","Dec"},C76)</f>
        <v>Oct</v>
      </c>
      <c r="H76" s="70">
        <v>2025</v>
      </c>
      <c r="I76" s="50">
        <f>IFERROR(VLOOKUP(E76&amp;"_"&amp;F76,plan_catalog!$A:$D,4,0)/12,0)</f>
        <v>4583.333333333333</v>
      </c>
      <c r="J76" s="33">
        <v>10</v>
      </c>
      <c r="K76" s="33">
        <v>10</v>
      </c>
      <c r="L76" s="59">
        <f t="shared" si="10"/>
        <v>1</v>
      </c>
      <c r="M76" s="49" t="str">
        <f>IFERROR(VLOOKUP(B76,rep_roster!$A:$L,12,0),E76&amp;"_"&amp;F76)</f>
        <v>SDR_Mid-Market</v>
      </c>
      <c r="N76" s="71">
        <f>IFERROR(VLOOKUP(M76,plan_catalog!$A:$G,7,0),0)</f>
        <v>167</v>
      </c>
      <c r="O76" s="50">
        <f t="shared" si="11"/>
        <v>1670</v>
      </c>
      <c r="P76" s="72">
        <f>IFERROR(VLOOKUP(M76,plan_catalog!$A:$I,9,0),0)</f>
        <v>1.1000000000000001</v>
      </c>
      <c r="Q76" s="73">
        <f>IFERROR(VLOOKUP(M76,plan_catalog!$A:$J,10,0),1)</f>
        <v>1.25</v>
      </c>
      <c r="R76" s="72" t="str">
        <f>IFERROR(VLOOKUP(M76,plan_catalog!$A:$K,11,0),0)</f>
        <v>—</v>
      </c>
      <c r="S76" s="73" t="str">
        <f>IFERROR(VLOOKUP(M76,plan_catalog!$A:$L,12,0),1)</f>
        <v>—</v>
      </c>
      <c r="T76" s="74">
        <f t="shared" si="12"/>
        <v>1</v>
      </c>
      <c r="U76" s="69">
        <f t="shared" si="13"/>
        <v>1670</v>
      </c>
      <c r="V76" s="57">
        <f t="shared" si="14"/>
        <v>6253.333333333333</v>
      </c>
    </row>
    <row r="77" spans="1:22" ht="15" customHeight="1" x14ac:dyDescent="0.35">
      <c r="A77" s="64">
        <v>73</v>
      </c>
      <c r="B77" s="25" t="s">
        <v>154</v>
      </c>
      <c r="C77" s="25">
        <v>11</v>
      </c>
      <c r="D77" s="52" t="str">
        <f>VLOOKUP(B77,rep_roster!$A:$B,2,0)</f>
        <v>Jessica Martinez</v>
      </c>
      <c r="E77" s="61" t="str">
        <f>VLOOKUP(B77,rep_roster!$A:$C,3,0)</f>
        <v>SDR</v>
      </c>
      <c r="F77" s="61" t="str">
        <f>VLOOKUP(B77,rep_roster!$A:$D,4,0)</f>
        <v>Mid-Market</v>
      </c>
      <c r="G77" s="61" t="str">
        <f>INDEX({"Jan","Feb","Mar","Apr","May","Jun","Jul","Aug","Sep","Oct","Nov","Dec"},C77)</f>
        <v>Nov</v>
      </c>
      <c r="H77" s="64">
        <v>2025</v>
      </c>
      <c r="I77" s="53">
        <f>IFERROR(VLOOKUP(E77&amp;"_"&amp;F77,plan_catalog!$A:$D,4,0)/12,0)</f>
        <v>4583.333333333333</v>
      </c>
      <c r="J77" s="39">
        <v>10</v>
      </c>
      <c r="K77" s="39">
        <v>11</v>
      </c>
      <c r="L77" s="62">
        <f t="shared" si="10"/>
        <v>1.1000000000000001</v>
      </c>
      <c r="M77" s="52" t="str">
        <f>IFERROR(VLOOKUP(B77,rep_roster!$A:$L,12,0),E77&amp;"_"&amp;F77)</f>
        <v>SDR_Mid-Market</v>
      </c>
      <c r="N77" s="65">
        <f>IFERROR(VLOOKUP(M77,plan_catalog!$A:$G,7,0),0)</f>
        <v>167</v>
      </c>
      <c r="O77" s="53">
        <f t="shared" si="11"/>
        <v>1837</v>
      </c>
      <c r="P77" s="66">
        <f>IFERROR(VLOOKUP(M77,plan_catalog!$A:$I,9,0),0)</f>
        <v>1.1000000000000001</v>
      </c>
      <c r="Q77" s="67">
        <f>IFERROR(VLOOKUP(M77,plan_catalog!$A:$J,10,0),1)</f>
        <v>1.25</v>
      </c>
      <c r="R77" s="66" t="str">
        <f>IFERROR(VLOOKUP(M77,plan_catalog!$A:$K,11,0),0)</f>
        <v>—</v>
      </c>
      <c r="S77" s="67" t="str">
        <f>IFERROR(VLOOKUP(M77,plan_catalog!$A:$L,12,0),1)</f>
        <v>—</v>
      </c>
      <c r="T77" s="68">
        <f t="shared" si="12"/>
        <v>1.25</v>
      </c>
      <c r="U77" s="69">
        <f t="shared" si="13"/>
        <v>2296.25</v>
      </c>
      <c r="V77" s="57">
        <f t="shared" si="14"/>
        <v>6879.583333333333</v>
      </c>
    </row>
    <row r="78" spans="1:22" ht="15" customHeight="1" x14ac:dyDescent="0.35">
      <c r="A78" s="70">
        <v>74</v>
      </c>
      <c r="B78" s="22" t="s">
        <v>154</v>
      </c>
      <c r="C78" s="22">
        <v>12</v>
      </c>
      <c r="D78" s="49" t="str">
        <f>VLOOKUP(B78,rep_roster!$A:$B,2,0)</f>
        <v>Jessica Martinez</v>
      </c>
      <c r="E78" s="58" t="str">
        <f>VLOOKUP(B78,rep_roster!$A:$C,3,0)</f>
        <v>SDR</v>
      </c>
      <c r="F78" s="58" t="str">
        <f>VLOOKUP(B78,rep_roster!$A:$D,4,0)</f>
        <v>Mid-Market</v>
      </c>
      <c r="G78" s="58" t="str">
        <f>INDEX({"Jan","Feb","Mar","Apr","May","Jun","Jul","Aug","Sep","Oct","Nov","Dec"},C78)</f>
        <v>Dec</v>
      </c>
      <c r="H78" s="70">
        <v>2025</v>
      </c>
      <c r="I78" s="50">
        <f>IFERROR(VLOOKUP(E78&amp;"_"&amp;F78,plan_catalog!$A:$D,4,0)/12,0)</f>
        <v>4583.333333333333</v>
      </c>
      <c r="J78" s="33">
        <v>10</v>
      </c>
      <c r="K78" s="33">
        <v>11</v>
      </c>
      <c r="L78" s="59">
        <f t="shared" si="10"/>
        <v>1.1000000000000001</v>
      </c>
      <c r="M78" s="49" t="str">
        <f>IFERROR(VLOOKUP(B78,rep_roster!$A:$L,12,0),E78&amp;"_"&amp;F78)</f>
        <v>SDR_Mid-Market</v>
      </c>
      <c r="N78" s="71">
        <f>IFERROR(VLOOKUP(M78,plan_catalog!$A:$G,7,0),0)</f>
        <v>167</v>
      </c>
      <c r="O78" s="50">
        <f t="shared" si="11"/>
        <v>1837</v>
      </c>
      <c r="P78" s="72">
        <f>IFERROR(VLOOKUP(M78,plan_catalog!$A:$I,9,0),0)</f>
        <v>1.1000000000000001</v>
      </c>
      <c r="Q78" s="73">
        <f>IFERROR(VLOOKUP(M78,plan_catalog!$A:$J,10,0),1)</f>
        <v>1.25</v>
      </c>
      <c r="R78" s="72" t="str">
        <f>IFERROR(VLOOKUP(M78,plan_catalog!$A:$K,11,0),0)</f>
        <v>—</v>
      </c>
      <c r="S78" s="73" t="str">
        <f>IFERROR(VLOOKUP(M78,plan_catalog!$A:$L,12,0),1)</f>
        <v>—</v>
      </c>
      <c r="T78" s="74">
        <f t="shared" si="12"/>
        <v>1.25</v>
      </c>
      <c r="U78" s="69">
        <f t="shared" si="13"/>
        <v>2296.25</v>
      </c>
      <c r="V78" s="57">
        <f t="shared" si="14"/>
        <v>6879.583333333333</v>
      </c>
    </row>
    <row r="79" spans="1:22" ht="15" customHeight="1" x14ac:dyDescent="0.35">
      <c r="A79" s="64">
        <v>75</v>
      </c>
      <c r="B79" s="25" t="s">
        <v>157</v>
      </c>
      <c r="C79" s="25">
        <v>1</v>
      </c>
      <c r="D79" s="52" t="str">
        <f>VLOOKUP(B79,rep_roster!$A:$B,2,0)</f>
        <v>Ryan Thompson</v>
      </c>
      <c r="E79" s="61" t="str">
        <f>VLOOKUP(B79,rep_roster!$A:$C,3,0)</f>
        <v>AE</v>
      </c>
      <c r="F79" s="61" t="str">
        <f>VLOOKUP(B79,rep_roster!$A:$D,4,0)</f>
        <v>Mid-Market</v>
      </c>
      <c r="G79" s="61" t="str">
        <f>INDEX({"Jan","Feb","Mar","Apr","May","Jun","Jul","Aug","Sep","Oct","Nov","Dec"},C79)</f>
        <v>Jan</v>
      </c>
      <c r="H79" s="64">
        <v>2025</v>
      </c>
      <c r="I79" s="53">
        <f>IFERROR(VLOOKUP(E79&amp;"_"&amp;F79,plan_catalog!$A:$D,4,0)/12,0)</f>
        <v>6666.666666666667</v>
      </c>
      <c r="J79" s="38">
        <v>50000</v>
      </c>
      <c r="K79" s="38">
        <v>62000</v>
      </c>
      <c r="L79" s="62">
        <f t="shared" si="10"/>
        <v>1.24</v>
      </c>
      <c r="M79" s="52" t="str">
        <f>IFERROR(VLOOKUP(B79,rep_roster!$A:$L,12,0),E79&amp;"_"&amp;F79)</f>
        <v>AE_Mid-Market</v>
      </c>
      <c r="N79" s="66">
        <f>IFERROR(VLOOKUP(M79,plan_catalog!$A:$G,7,0),0)</f>
        <v>0.1</v>
      </c>
      <c r="O79" s="53">
        <f t="shared" si="11"/>
        <v>6200</v>
      </c>
      <c r="P79" s="66">
        <f>IFERROR(VLOOKUP(M79,plan_catalog!$A:$I,9,0),0)</f>
        <v>1</v>
      </c>
      <c r="Q79" s="67">
        <f>IFERROR(VLOOKUP(M79,plan_catalog!$A:$J,10,0),1)</f>
        <v>1.25</v>
      </c>
      <c r="R79" s="66">
        <f>IFERROR(VLOOKUP(M79,plan_catalog!$A:$K,11,0),0)</f>
        <v>1.2</v>
      </c>
      <c r="S79" s="67">
        <f>IFERROR(VLOOKUP(M79,plan_catalog!$A:$L,12,0),1)</f>
        <v>1.5</v>
      </c>
      <c r="T79" s="68">
        <f t="shared" si="12"/>
        <v>1.5</v>
      </c>
      <c r="U79" s="69">
        <f t="shared" si="13"/>
        <v>9300</v>
      </c>
      <c r="V79" s="57">
        <f t="shared" si="14"/>
        <v>15966.666666666668</v>
      </c>
    </row>
    <row r="80" spans="1:22" ht="15" customHeight="1" x14ac:dyDescent="0.35">
      <c r="A80" s="70">
        <v>76</v>
      </c>
      <c r="B80" s="22" t="s">
        <v>157</v>
      </c>
      <c r="C80" s="22">
        <v>2</v>
      </c>
      <c r="D80" s="49" t="str">
        <f>VLOOKUP(B80,rep_roster!$A:$B,2,0)</f>
        <v>Ryan Thompson</v>
      </c>
      <c r="E80" s="58" t="str">
        <f>VLOOKUP(B80,rep_roster!$A:$C,3,0)</f>
        <v>AE</v>
      </c>
      <c r="F80" s="58" t="str">
        <f>VLOOKUP(B80,rep_roster!$A:$D,4,0)</f>
        <v>Mid-Market</v>
      </c>
      <c r="G80" s="58" t="str">
        <f>INDEX({"Jan","Feb","Mar","Apr","May","Jun","Jul","Aug","Sep","Oct","Nov","Dec"},C80)</f>
        <v>Feb</v>
      </c>
      <c r="H80" s="70">
        <v>2025</v>
      </c>
      <c r="I80" s="50">
        <f>IFERROR(VLOOKUP(E80&amp;"_"&amp;F80,plan_catalog!$A:$D,4,0)/12,0)</f>
        <v>6666.666666666667</v>
      </c>
      <c r="J80" s="32">
        <v>50000</v>
      </c>
      <c r="K80" s="32">
        <v>58000</v>
      </c>
      <c r="L80" s="59">
        <f t="shared" si="10"/>
        <v>1.1599999999999999</v>
      </c>
      <c r="M80" s="49" t="str">
        <f>IFERROR(VLOOKUP(B80,rep_roster!$A:$L,12,0),E80&amp;"_"&amp;F80)</f>
        <v>AE_Mid-Market</v>
      </c>
      <c r="N80" s="72">
        <f>IFERROR(VLOOKUP(M80,plan_catalog!$A:$G,7,0),0)</f>
        <v>0.1</v>
      </c>
      <c r="O80" s="50">
        <f t="shared" si="11"/>
        <v>5800</v>
      </c>
      <c r="P80" s="72">
        <f>IFERROR(VLOOKUP(M80,plan_catalog!$A:$I,9,0),0)</f>
        <v>1</v>
      </c>
      <c r="Q80" s="73">
        <f>IFERROR(VLOOKUP(M80,plan_catalog!$A:$J,10,0),1)</f>
        <v>1.25</v>
      </c>
      <c r="R80" s="72">
        <f>IFERROR(VLOOKUP(M80,plan_catalog!$A:$K,11,0),0)</f>
        <v>1.2</v>
      </c>
      <c r="S80" s="73">
        <f>IFERROR(VLOOKUP(M80,plan_catalog!$A:$L,12,0),1)</f>
        <v>1.5</v>
      </c>
      <c r="T80" s="74">
        <f t="shared" si="12"/>
        <v>1.25</v>
      </c>
      <c r="U80" s="69">
        <f t="shared" si="13"/>
        <v>7250</v>
      </c>
      <c r="V80" s="57">
        <f t="shared" si="14"/>
        <v>13916.666666666668</v>
      </c>
    </row>
    <row r="81" spans="1:22" ht="15" customHeight="1" x14ac:dyDescent="0.35">
      <c r="A81" s="64">
        <v>77</v>
      </c>
      <c r="B81" s="25" t="s">
        <v>157</v>
      </c>
      <c r="C81" s="25">
        <v>3</v>
      </c>
      <c r="D81" s="52" t="str">
        <f>VLOOKUP(B81,rep_roster!$A:$B,2,0)</f>
        <v>Ryan Thompson</v>
      </c>
      <c r="E81" s="61" t="str">
        <f>VLOOKUP(B81,rep_roster!$A:$C,3,0)</f>
        <v>AE</v>
      </c>
      <c r="F81" s="61" t="str">
        <f>VLOOKUP(B81,rep_roster!$A:$D,4,0)</f>
        <v>Mid-Market</v>
      </c>
      <c r="G81" s="61" t="str">
        <f>INDEX({"Jan","Feb","Mar","Apr","May","Jun","Jul","Aug","Sep","Oct","Nov","Dec"},C81)</f>
        <v>Mar</v>
      </c>
      <c r="H81" s="64">
        <v>2025</v>
      </c>
      <c r="I81" s="53">
        <f>IFERROR(VLOOKUP(E81&amp;"_"&amp;F81,plan_catalog!$A:$D,4,0)/12,0)</f>
        <v>6666.666666666667</v>
      </c>
      <c r="J81" s="38">
        <v>50000</v>
      </c>
      <c r="K81" s="38">
        <v>68000</v>
      </c>
      <c r="L81" s="62">
        <f t="shared" si="10"/>
        <v>1.36</v>
      </c>
      <c r="M81" s="52" t="str">
        <f>IFERROR(VLOOKUP(B81,rep_roster!$A:$L,12,0),E81&amp;"_"&amp;F81)</f>
        <v>AE_Mid-Market</v>
      </c>
      <c r="N81" s="66">
        <f>IFERROR(VLOOKUP(M81,plan_catalog!$A:$G,7,0),0)</f>
        <v>0.1</v>
      </c>
      <c r="O81" s="53">
        <f t="shared" si="11"/>
        <v>6800</v>
      </c>
      <c r="P81" s="66">
        <f>IFERROR(VLOOKUP(M81,plan_catalog!$A:$I,9,0),0)</f>
        <v>1</v>
      </c>
      <c r="Q81" s="67">
        <f>IFERROR(VLOOKUP(M81,plan_catalog!$A:$J,10,0),1)</f>
        <v>1.25</v>
      </c>
      <c r="R81" s="66">
        <f>IFERROR(VLOOKUP(M81,plan_catalog!$A:$K,11,0),0)</f>
        <v>1.2</v>
      </c>
      <c r="S81" s="67">
        <f>IFERROR(VLOOKUP(M81,plan_catalog!$A:$L,12,0),1)</f>
        <v>1.5</v>
      </c>
      <c r="T81" s="68">
        <f t="shared" si="12"/>
        <v>1.5</v>
      </c>
      <c r="U81" s="69">
        <f t="shared" si="13"/>
        <v>10200</v>
      </c>
      <c r="V81" s="57">
        <f t="shared" si="14"/>
        <v>16866.666666666668</v>
      </c>
    </row>
    <row r="82" spans="1:22" ht="15" customHeight="1" x14ac:dyDescent="0.35">
      <c r="A82" s="70">
        <v>78</v>
      </c>
      <c r="B82" s="22" t="s">
        <v>157</v>
      </c>
      <c r="C82" s="22">
        <v>4</v>
      </c>
      <c r="D82" s="49" t="str">
        <f>VLOOKUP(B82,rep_roster!$A:$B,2,0)</f>
        <v>Ryan Thompson</v>
      </c>
      <c r="E82" s="58" t="str">
        <f>VLOOKUP(B82,rep_roster!$A:$C,3,0)</f>
        <v>AE</v>
      </c>
      <c r="F82" s="58" t="str">
        <f>VLOOKUP(B82,rep_roster!$A:$D,4,0)</f>
        <v>Mid-Market</v>
      </c>
      <c r="G82" s="58" t="str">
        <f>INDEX({"Jan","Feb","Mar","Apr","May","Jun","Jul","Aug","Sep","Oct","Nov","Dec"},C82)</f>
        <v>Apr</v>
      </c>
      <c r="H82" s="70">
        <v>2025</v>
      </c>
      <c r="I82" s="50">
        <f>IFERROR(VLOOKUP(E82&amp;"_"&amp;F82,plan_catalog!$A:$D,4,0)/12,0)</f>
        <v>6666.666666666667</v>
      </c>
      <c r="J82" s="32">
        <v>50000</v>
      </c>
      <c r="K82" s="32">
        <v>54000</v>
      </c>
      <c r="L82" s="59">
        <f t="shared" si="10"/>
        <v>1.08</v>
      </c>
      <c r="M82" s="49" t="str">
        <f>IFERROR(VLOOKUP(B82,rep_roster!$A:$L,12,0),E82&amp;"_"&amp;F82)</f>
        <v>AE_Mid-Market</v>
      </c>
      <c r="N82" s="72">
        <f>IFERROR(VLOOKUP(M82,plan_catalog!$A:$G,7,0),0)</f>
        <v>0.1</v>
      </c>
      <c r="O82" s="50">
        <f t="shared" si="11"/>
        <v>5400</v>
      </c>
      <c r="P82" s="72">
        <f>IFERROR(VLOOKUP(M82,plan_catalog!$A:$I,9,0),0)</f>
        <v>1</v>
      </c>
      <c r="Q82" s="73">
        <f>IFERROR(VLOOKUP(M82,plan_catalog!$A:$J,10,0),1)</f>
        <v>1.25</v>
      </c>
      <c r="R82" s="72">
        <f>IFERROR(VLOOKUP(M82,plan_catalog!$A:$K,11,0),0)</f>
        <v>1.2</v>
      </c>
      <c r="S82" s="73">
        <f>IFERROR(VLOOKUP(M82,plan_catalog!$A:$L,12,0),1)</f>
        <v>1.5</v>
      </c>
      <c r="T82" s="74">
        <f t="shared" si="12"/>
        <v>1.25</v>
      </c>
      <c r="U82" s="69">
        <f t="shared" si="13"/>
        <v>6750</v>
      </c>
      <c r="V82" s="57">
        <f t="shared" si="14"/>
        <v>13416.666666666668</v>
      </c>
    </row>
    <row r="83" spans="1:22" ht="15" customHeight="1" x14ac:dyDescent="0.35">
      <c r="A83" s="64">
        <v>79</v>
      </c>
      <c r="B83" s="25" t="s">
        <v>157</v>
      </c>
      <c r="C83" s="25">
        <v>5</v>
      </c>
      <c r="D83" s="52" t="str">
        <f>VLOOKUP(B83,rep_roster!$A:$B,2,0)</f>
        <v>Ryan Thompson</v>
      </c>
      <c r="E83" s="61" t="str">
        <f>VLOOKUP(B83,rep_roster!$A:$C,3,0)</f>
        <v>AE</v>
      </c>
      <c r="F83" s="61" t="str">
        <f>VLOOKUP(B83,rep_roster!$A:$D,4,0)</f>
        <v>Mid-Market</v>
      </c>
      <c r="G83" s="61" t="str">
        <f>INDEX({"Jan","Feb","Mar","Apr","May","Jun","Jul","Aug","Sep","Oct","Nov","Dec"},C83)</f>
        <v>May</v>
      </c>
      <c r="H83" s="64">
        <v>2025</v>
      </c>
      <c r="I83" s="53">
        <f>IFERROR(VLOOKUP(E83&amp;"_"&amp;F83,plan_catalog!$A:$D,4,0)/12,0)</f>
        <v>6666.666666666667</v>
      </c>
      <c r="J83" s="38">
        <v>50000</v>
      </c>
      <c r="K83" s="38">
        <v>52000</v>
      </c>
      <c r="L83" s="62">
        <f t="shared" si="10"/>
        <v>1.04</v>
      </c>
      <c r="M83" s="52" t="str">
        <f>IFERROR(VLOOKUP(B83,rep_roster!$A:$L,12,0),E83&amp;"_"&amp;F83)</f>
        <v>AE_Mid-Market</v>
      </c>
      <c r="N83" s="66">
        <f>IFERROR(VLOOKUP(M83,plan_catalog!$A:$G,7,0),0)</f>
        <v>0.1</v>
      </c>
      <c r="O83" s="53">
        <f t="shared" si="11"/>
        <v>5200</v>
      </c>
      <c r="P83" s="66">
        <f>IFERROR(VLOOKUP(M83,plan_catalog!$A:$I,9,0),0)</f>
        <v>1</v>
      </c>
      <c r="Q83" s="67">
        <f>IFERROR(VLOOKUP(M83,plan_catalog!$A:$J,10,0),1)</f>
        <v>1.25</v>
      </c>
      <c r="R83" s="66">
        <f>IFERROR(VLOOKUP(M83,plan_catalog!$A:$K,11,0),0)</f>
        <v>1.2</v>
      </c>
      <c r="S83" s="67">
        <f>IFERROR(VLOOKUP(M83,plan_catalog!$A:$L,12,0),1)</f>
        <v>1.5</v>
      </c>
      <c r="T83" s="68">
        <f t="shared" si="12"/>
        <v>1.25</v>
      </c>
      <c r="U83" s="69">
        <f t="shared" si="13"/>
        <v>6500</v>
      </c>
      <c r="V83" s="57">
        <f t="shared" si="14"/>
        <v>13166.666666666668</v>
      </c>
    </row>
    <row r="84" spans="1:22" ht="15" customHeight="1" x14ac:dyDescent="0.35">
      <c r="A84" s="70">
        <v>80</v>
      </c>
      <c r="B84" s="22" t="s">
        <v>157</v>
      </c>
      <c r="C84" s="22">
        <v>6</v>
      </c>
      <c r="D84" s="49" t="str">
        <f>VLOOKUP(B84,rep_roster!$A:$B,2,0)</f>
        <v>Ryan Thompson</v>
      </c>
      <c r="E84" s="58" t="str">
        <f>VLOOKUP(B84,rep_roster!$A:$C,3,0)</f>
        <v>AE</v>
      </c>
      <c r="F84" s="58" t="str">
        <f>VLOOKUP(B84,rep_roster!$A:$D,4,0)</f>
        <v>Mid-Market</v>
      </c>
      <c r="G84" s="58" t="str">
        <f>INDEX({"Jan","Feb","Mar","Apr","May","Jun","Jul","Aug","Sep","Oct","Nov","Dec"},C84)</f>
        <v>Jun</v>
      </c>
      <c r="H84" s="70">
        <v>2025</v>
      </c>
      <c r="I84" s="50">
        <f>IFERROR(VLOOKUP(E84&amp;"_"&amp;F84,plan_catalog!$A:$D,4,0)/12,0)</f>
        <v>6666.666666666667</v>
      </c>
      <c r="J84" s="32">
        <v>50000</v>
      </c>
      <c r="K84" s="32">
        <v>57000</v>
      </c>
      <c r="L84" s="59">
        <f t="shared" si="10"/>
        <v>1.1399999999999999</v>
      </c>
      <c r="M84" s="49" t="str">
        <f>IFERROR(VLOOKUP(B84,rep_roster!$A:$L,12,0),E84&amp;"_"&amp;F84)</f>
        <v>AE_Mid-Market</v>
      </c>
      <c r="N84" s="72">
        <f>IFERROR(VLOOKUP(M84,plan_catalog!$A:$G,7,0),0)</f>
        <v>0.1</v>
      </c>
      <c r="O84" s="50">
        <f t="shared" si="11"/>
        <v>5700</v>
      </c>
      <c r="P84" s="72">
        <f>IFERROR(VLOOKUP(M84,plan_catalog!$A:$I,9,0),0)</f>
        <v>1</v>
      </c>
      <c r="Q84" s="73">
        <f>IFERROR(VLOOKUP(M84,plan_catalog!$A:$J,10,0),1)</f>
        <v>1.25</v>
      </c>
      <c r="R84" s="72">
        <f>IFERROR(VLOOKUP(M84,plan_catalog!$A:$K,11,0),0)</f>
        <v>1.2</v>
      </c>
      <c r="S84" s="73">
        <f>IFERROR(VLOOKUP(M84,plan_catalog!$A:$L,12,0),1)</f>
        <v>1.5</v>
      </c>
      <c r="T84" s="74">
        <f t="shared" si="12"/>
        <v>1.25</v>
      </c>
      <c r="U84" s="69">
        <f t="shared" si="13"/>
        <v>7125</v>
      </c>
      <c r="V84" s="57">
        <f t="shared" si="14"/>
        <v>13791.666666666668</v>
      </c>
    </row>
    <row r="85" spans="1:22" ht="15" customHeight="1" x14ac:dyDescent="0.35">
      <c r="A85" s="64">
        <v>81</v>
      </c>
      <c r="B85" s="25" t="s">
        <v>157</v>
      </c>
      <c r="C85" s="25">
        <v>7</v>
      </c>
      <c r="D85" s="52" t="str">
        <f>VLOOKUP(B85,rep_roster!$A:$B,2,0)</f>
        <v>Ryan Thompson</v>
      </c>
      <c r="E85" s="61" t="str">
        <f>VLOOKUP(B85,rep_roster!$A:$C,3,0)</f>
        <v>AE</v>
      </c>
      <c r="F85" s="61" t="str">
        <f>VLOOKUP(B85,rep_roster!$A:$D,4,0)</f>
        <v>Mid-Market</v>
      </c>
      <c r="G85" s="61" t="str">
        <f>INDEX({"Jan","Feb","Mar","Apr","May","Jun","Jul","Aug","Sep","Oct","Nov","Dec"},C85)</f>
        <v>Jul</v>
      </c>
      <c r="H85" s="64">
        <v>2025</v>
      </c>
      <c r="I85" s="53">
        <f>IFERROR(VLOOKUP(E85&amp;"_"&amp;F85,plan_catalog!$A:$D,4,0)/12,0)</f>
        <v>6666.666666666667</v>
      </c>
      <c r="J85" s="38">
        <v>50000</v>
      </c>
      <c r="K85" s="38">
        <v>44000</v>
      </c>
      <c r="L85" s="62">
        <f t="shared" si="10"/>
        <v>0.88</v>
      </c>
      <c r="M85" s="52" t="str">
        <f>IFERROR(VLOOKUP(B85,rep_roster!$A:$L,12,0),E85&amp;"_"&amp;F85)</f>
        <v>AE_Mid-Market</v>
      </c>
      <c r="N85" s="66">
        <f>IFERROR(VLOOKUP(M85,plan_catalog!$A:$G,7,0),0)</f>
        <v>0.1</v>
      </c>
      <c r="O85" s="53">
        <f t="shared" si="11"/>
        <v>4400</v>
      </c>
      <c r="P85" s="66">
        <f>IFERROR(VLOOKUP(M85,plan_catalog!$A:$I,9,0),0)</f>
        <v>1</v>
      </c>
      <c r="Q85" s="67">
        <f>IFERROR(VLOOKUP(M85,plan_catalog!$A:$J,10,0),1)</f>
        <v>1.25</v>
      </c>
      <c r="R85" s="66">
        <f>IFERROR(VLOOKUP(M85,plan_catalog!$A:$K,11,0),0)</f>
        <v>1.2</v>
      </c>
      <c r="S85" s="67">
        <f>IFERROR(VLOOKUP(M85,plan_catalog!$A:$L,12,0),1)</f>
        <v>1.5</v>
      </c>
      <c r="T85" s="68">
        <f t="shared" si="12"/>
        <v>1</v>
      </c>
      <c r="U85" s="69">
        <f t="shared" si="13"/>
        <v>4400</v>
      </c>
      <c r="V85" s="57">
        <f t="shared" si="14"/>
        <v>11066.666666666668</v>
      </c>
    </row>
    <row r="86" spans="1:22" ht="15" customHeight="1" x14ac:dyDescent="0.35">
      <c r="A86" s="70">
        <v>82</v>
      </c>
      <c r="B86" s="22" t="s">
        <v>157</v>
      </c>
      <c r="C86" s="22">
        <v>8</v>
      </c>
      <c r="D86" s="49" t="str">
        <f>VLOOKUP(B86,rep_roster!$A:$B,2,0)</f>
        <v>Ryan Thompson</v>
      </c>
      <c r="E86" s="58" t="str">
        <f>VLOOKUP(B86,rep_roster!$A:$C,3,0)</f>
        <v>AE</v>
      </c>
      <c r="F86" s="58" t="str">
        <f>VLOOKUP(B86,rep_roster!$A:$D,4,0)</f>
        <v>Mid-Market</v>
      </c>
      <c r="G86" s="58" t="str">
        <f>INDEX({"Jan","Feb","Mar","Apr","May","Jun","Jul","Aug","Sep","Oct","Nov","Dec"},C86)</f>
        <v>Aug</v>
      </c>
      <c r="H86" s="70">
        <v>2025</v>
      </c>
      <c r="I86" s="50">
        <f>IFERROR(VLOOKUP(E86&amp;"_"&amp;F86,plan_catalog!$A:$D,4,0)/12,0)</f>
        <v>6666.666666666667</v>
      </c>
      <c r="J86" s="32">
        <v>50000</v>
      </c>
      <c r="K86" s="32">
        <v>40000</v>
      </c>
      <c r="L86" s="59">
        <f t="shared" si="10"/>
        <v>0.8</v>
      </c>
      <c r="M86" s="49" t="str">
        <f>IFERROR(VLOOKUP(B86,rep_roster!$A:$L,12,0),E86&amp;"_"&amp;F86)</f>
        <v>AE_Mid-Market</v>
      </c>
      <c r="N86" s="72">
        <f>IFERROR(VLOOKUP(M86,plan_catalog!$A:$G,7,0),0)</f>
        <v>0.1</v>
      </c>
      <c r="O86" s="50">
        <f t="shared" si="11"/>
        <v>4000</v>
      </c>
      <c r="P86" s="72">
        <f>IFERROR(VLOOKUP(M86,plan_catalog!$A:$I,9,0),0)</f>
        <v>1</v>
      </c>
      <c r="Q86" s="73">
        <f>IFERROR(VLOOKUP(M86,plan_catalog!$A:$J,10,0),1)</f>
        <v>1.25</v>
      </c>
      <c r="R86" s="72">
        <f>IFERROR(VLOOKUP(M86,plan_catalog!$A:$K,11,0),0)</f>
        <v>1.2</v>
      </c>
      <c r="S86" s="73">
        <f>IFERROR(VLOOKUP(M86,plan_catalog!$A:$L,12,0),1)</f>
        <v>1.5</v>
      </c>
      <c r="T86" s="74">
        <f t="shared" si="12"/>
        <v>1</v>
      </c>
      <c r="U86" s="69">
        <f t="shared" si="13"/>
        <v>4000</v>
      </c>
      <c r="V86" s="57">
        <f t="shared" si="14"/>
        <v>10666.666666666668</v>
      </c>
    </row>
    <row r="87" spans="1:22" ht="15" customHeight="1" x14ac:dyDescent="0.35">
      <c r="A87" s="64">
        <v>83</v>
      </c>
      <c r="B87" s="25" t="s">
        <v>157</v>
      </c>
      <c r="C87" s="25">
        <v>9</v>
      </c>
      <c r="D87" s="52" t="str">
        <f>VLOOKUP(B87,rep_roster!$A:$B,2,0)</f>
        <v>Ryan Thompson</v>
      </c>
      <c r="E87" s="61" t="str">
        <f>VLOOKUP(B87,rep_roster!$A:$C,3,0)</f>
        <v>AE</v>
      </c>
      <c r="F87" s="61" t="str">
        <f>VLOOKUP(B87,rep_roster!$A:$D,4,0)</f>
        <v>Mid-Market</v>
      </c>
      <c r="G87" s="61" t="str">
        <f>INDEX({"Jan","Feb","Mar","Apr","May","Jun","Jul","Aug","Sep","Oct","Nov","Dec"},C87)</f>
        <v>Sep</v>
      </c>
      <c r="H87" s="64">
        <v>2025</v>
      </c>
      <c r="I87" s="53">
        <f>IFERROR(VLOOKUP(E87&amp;"_"&amp;F87,plan_catalog!$A:$D,4,0)/12,0)</f>
        <v>6666.666666666667</v>
      </c>
      <c r="J87" s="38">
        <v>50000</v>
      </c>
      <c r="K87" s="38">
        <v>48000</v>
      </c>
      <c r="L87" s="62">
        <f t="shared" si="10"/>
        <v>0.96</v>
      </c>
      <c r="M87" s="52" t="str">
        <f>IFERROR(VLOOKUP(B87,rep_roster!$A:$L,12,0),E87&amp;"_"&amp;F87)</f>
        <v>AE_Mid-Market</v>
      </c>
      <c r="N87" s="66">
        <f>IFERROR(VLOOKUP(M87,plan_catalog!$A:$G,7,0),0)</f>
        <v>0.1</v>
      </c>
      <c r="O87" s="53">
        <f t="shared" si="11"/>
        <v>4800</v>
      </c>
      <c r="P87" s="66">
        <f>IFERROR(VLOOKUP(M87,plan_catalog!$A:$I,9,0),0)</f>
        <v>1</v>
      </c>
      <c r="Q87" s="67">
        <f>IFERROR(VLOOKUP(M87,plan_catalog!$A:$J,10,0),1)</f>
        <v>1.25</v>
      </c>
      <c r="R87" s="66">
        <f>IFERROR(VLOOKUP(M87,plan_catalog!$A:$K,11,0),0)</f>
        <v>1.2</v>
      </c>
      <c r="S87" s="67">
        <f>IFERROR(VLOOKUP(M87,plan_catalog!$A:$L,12,0),1)</f>
        <v>1.5</v>
      </c>
      <c r="T87" s="68">
        <f t="shared" si="12"/>
        <v>1</v>
      </c>
      <c r="U87" s="69">
        <f t="shared" si="13"/>
        <v>4800</v>
      </c>
      <c r="V87" s="57">
        <f t="shared" si="14"/>
        <v>11466.666666666668</v>
      </c>
    </row>
    <row r="88" spans="1:22" ht="15" customHeight="1" x14ac:dyDescent="0.35">
      <c r="A88" s="70">
        <v>84</v>
      </c>
      <c r="B88" s="22" t="s">
        <v>157</v>
      </c>
      <c r="C88" s="22">
        <v>10</v>
      </c>
      <c r="D88" s="49" t="str">
        <f>VLOOKUP(B88,rep_roster!$A:$B,2,0)</f>
        <v>Ryan Thompson</v>
      </c>
      <c r="E88" s="58" t="str">
        <f>VLOOKUP(B88,rep_roster!$A:$C,3,0)</f>
        <v>AE</v>
      </c>
      <c r="F88" s="58" t="str">
        <f>VLOOKUP(B88,rep_roster!$A:$D,4,0)</f>
        <v>Mid-Market</v>
      </c>
      <c r="G88" s="58" t="str">
        <f>INDEX({"Jan","Feb","Mar","Apr","May","Jun","Jul","Aug","Sep","Oct","Nov","Dec"},C88)</f>
        <v>Oct</v>
      </c>
      <c r="H88" s="70">
        <v>2025</v>
      </c>
      <c r="I88" s="50">
        <f>IFERROR(VLOOKUP(E88&amp;"_"&amp;F88,plan_catalog!$A:$D,4,0)/12,0)</f>
        <v>6666.666666666667</v>
      </c>
      <c r="J88" s="32">
        <v>50000</v>
      </c>
      <c r="K88" s="32">
        <v>38000</v>
      </c>
      <c r="L88" s="59">
        <f t="shared" si="10"/>
        <v>0.76</v>
      </c>
      <c r="M88" s="49" t="str">
        <f>IFERROR(VLOOKUP(B88,rep_roster!$A:$L,12,0),E88&amp;"_"&amp;F88)</f>
        <v>AE_Mid-Market</v>
      </c>
      <c r="N88" s="72">
        <f>IFERROR(VLOOKUP(M88,plan_catalog!$A:$G,7,0),0)</f>
        <v>0.1</v>
      </c>
      <c r="O88" s="50">
        <f t="shared" si="11"/>
        <v>3800</v>
      </c>
      <c r="P88" s="72">
        <f>IFERROR(VLOOKUP(M88,plan_catalog!$A:$I,9,0),0)</f>
        <v>1</v>
      </c>
      <c r="Q88" s="73">
        <f>IFERROR(VLOOKUP(M88,plan_catalog!$A:$J,10,0),1)</f>
        <v>1.25</v>
      </c>
      <c r="R88" s="72">
        <f>IFERROR(VLOOKUP(M88,plan_catalog!$A:$K,11,0),0)</f>
        <v>1.2</v>
      </c>
      <c r="S88" s="73">
        <f>IFERROR(VLOOKUP(M88,plan_catalog!$A:$L,12,0),1)</f>
        <v>1.5</v>
      </c>
      <c r="T88" s="74">
        <f t="shared" si="12"/>
        <v>1</v>
      </c>
      <c r="U88" s="69">
        <f t="shared" si="13"/>
        <v>3800</v>
      </c>
      <c r="V88" s="57">
        <f t="shared" si="14"/>
        <v>10466.666666666668</v>
      </c>
    </row>
    <row r="89" spans="1:22" ht="15" customHeight="1" x14ac:dyDescent="0.35">
      <c r="A89" s="64">
        <v>85</v>
      </c>
      <c r="B89" s="25" t="s">
        <v>157</v>
      </c>
      <c r="C89" s="25">
        <v>11</v>
      </c>
      <c r="D89" s="52" t="str">
        <f>VLOOKUP(B89,rep_roster!$A:$B,2,0)</f>
        <v>Ryan Thompson</v>
      </c>
      <c r="E89" s="61" t="str">
        <f>VLOOKUP(B89,rep_roster!$A:$C,3,0)</f>
        <v>AE</v>
      </c>
      <c r="F89" s="61" t="str">
        <f>VLOOKUP(B89,rep_roster!$A:$D,4,0)</f>
        <v>Mid-Market</v>
      </c>
      <c r="G89" s="61" t="str">
        <f>INDEX({"Jan","Feb","Mar","Apr","May","Jun","Jul","Aug","Sep","Oct","Nov","Dec"},C89)</f>
        <v>Nov</v>
      </c>
      <c r="H89" s="64">
        <v>2025</v>
      </c>
      <c r="I89" s="53">
        <f>IFERROR(VLOOKUP(E89&amp;"_"&amp;F89,plan_catalog!$A:$D,4,0)/12,0)</f>
        <v>6666.666666666667</v>
      </c>
      <c r="J89" s="38">
        <v>50000</v>
      </c>
      <c r="K89" s="38">
        <v>42000</v>
      </c>
      <c r="L89" s="62">
        <f t="shared" si="10"/>
        <v>0.84</v>
      </c>
      <c r="M89" s="52" t="str">
        <f>IFERROR(VLOOKUP(B89,rep_roster!$A:$L,12,0),E89&amp;"_"&amp;F89)</f>
        <v>AE_Mid-Market</v>
      </c>
      <c r="N89" s="66">
        <f>IFERROR(VLOOKUP(M89,plan_catalog!$A:$G,7,0),0)</f>
        <v>0.1</v>
      </c>
      <c r="O89" s="53">
        <f t="shared" si="11"/>
        <v>4200</v>
      </c>
      <c r="P89" s="66">
        <f>IFERROR(VLOOKUP(M89,plan_catalog!$A:$I,9,0),0)</f>
        <v>1</v>
      </c>
      <c r="Q89" s="67">
        <f>IFERROR(VLOOKUP(M89,plan_catalog!$A:$J,10,0),1)</f>
        <v>1.25</v>
      </c>
      <c r="R89" s="66">
        <f>IFERROR(VLOOKUP(M89,plan_catalog!$A:$K,11,0),0)</f>
        <v>1.2</v>
      </c>
      <c r="S89" s="67">
        <f>IFERROR(VLOOKUP(M89,plan_catalog!$A:$L,12,0),1)</f>
        <v>1.5</v>
      </c>
      <c r="T89" s="68">
        <f t="shared" si="12"/>
        <v>1</v>
      </c>
      <c r="U89" s="69">
        <f t="shared" si="13"/>
        <v>4200</v>
      </c>
      <c r="V89" s="57">
        <f t="shared" si="14"/>
        <v>10866.666666666668</v>
      </c>
    </row>
    <row r="90" spans="1:22" ht="15" customHeight="1" x14ac:dyDescent="0.35">
      <c r="A90" s="70">
        <v>86</v>
      </c>
      <c r="B90" s="22" t="s">
        <v>157</v>
      </c>
      <c r="C90" s="22">
        <v>12</v>
      </c>
      <c r="D90" s="49" t="str">
        <f>VLOOKUP(B90,rep_roster!$A:$B,2,0)</f>
        <v>Ryan Thompson</v>
      </c>
      <c r="E90" s="58" t="str">
        <f>VLOOKUP(B90,rep_roster!$A:$C,3,0)</f>
        <v>AE</v>
      </c>
      <c r="F90" s="58" t="str">
        <f>VLOOKUP(B90,rep_roster!$A:$D,4,0)</f>
        <v>Mid-Market</v>
      </c>
      <c r="G90" s="58" t="str">
        <f>INDEX({"Jan","Feb","Mar","Apr","May","Jun","Jul","Aug","Sep","Oct","Nov","Dec"},C90)</f>
        <v>Dec</v>
      </c>
      <c r="H90" s="70">
        <v>2025</v>
      </c>
      <c r="I90" s="50">
        <f>IFERROR(VLOOKUP(E90&amp;"_"&amp;F90,plan_catalog!$A:$D,4,0)/12,0)</f>
        <v>6666.666666666667</v>
      </c>
      <c r="J90" s="32">
        <v>50000</v>
      </c>
      <c r="K90" s="32">
        <v>52000</v>
      </c>
      <c r="L90" s="59">
        <f t="shared" si="10"/>
        <v>1.04</v>
      </c>
      <c r="M90" s="49" t="str">
        <f>IFERROR(VLOOKUP(B90,rep_roster!$A:$L,12,0),E90&amp;"_"&amp;F90)</f>
        <v>AE_Mid-Market</v>
      </c>
      <c r="N90" s="72">
        <f>IFERROR(VLOOKUP(M90,plan_catalog!$A:$G,7,0),0)</f>
        <v>0.1</v>
      </c>
      <c r="O90" s="50">
        <f t="shared" si="11"/>
        <v>5200</v>
      </c>
      <c r="P90" s="72">
        <f>IFERROR(VLOOKUP(M90,plan_catalog!$A:$I,9,0),0)</f>
        <v>1</v>
      </c>
      <c r="Q90" s="73">
        <f>IFERROR(VLOOKUP(M90,plan_catalog!$A:$J,10,0),1)</f>
        <v>1.25</v>
      </c>
      <c r="R90" s="72">
        <f>IFERROR(VLOOKUP(M90,plan_catalog!$A:$K,11,0),0)</f>
        <v>1.2</v>
      </c>
      <c r="S90" s="73">
        <f>IFERROR(VLOOKUP(M90,plan_catalog!$A:$L,12,0),1)</f>
        <v>1.5</v>
      </c>
      <c r="T90" s="74">
        <f t="shared" si="12"/>
        <v>1.25</v>
      </c>
      <c r="U90" s="69">
        <f t="shared" si="13"/>
        <v>6500</v>
      </c>
      <c r="V90" s="57">
        <f t="shared" si="14"/>
        <v>13166.666666666668</v>
      </c>
    </row>
    <row r="91" spans="1:22" ht="15" customHeight="1" x14ac:dyDescent="0.35">
      <c r="A91" s="64">
        <v>87</v>
      </c>
      <c r="B91" s="25" t="s">
        <v>159</v>
      </c>
      <c r="C91" s="25">
        <v>1</v>
      </c>
      <c r="D91" s="52" t="str">
        <f>VLOOKUP(B91,rep_roster!$A:$B,2,0)</f>
        <v>Samantha Lee</v>
      </c>
      <c r="E91" s="61" t="str">
        <f>VLOOKUP(B91,rep_roster!$A:$C,3,0)</f>
        <v>AE</v>
      </c>
      <c r="F91" s="61" t="str">
        <f>VLOOKUP(B91,rep_roster!$A:$D,4,0)</f>
        <v>Mid-Market</v>
      </c>
      <c r="G91" s="61" t="str">
        <f>INDEX({"Jan","Feb","Mar","Apr","May","Jun","Jul","Aug","Sep","Oct","Nov","Dec"},C91)</f>
        <v>Jan</v>
      </c>
      <c r="H91" s="64">
        <v>2025</v>
      </c>
      <c r="I91" s="53">
        <f>IFERROR(VLOOKUP(E91&amp;"_"&amp;F91,plan_catalog!$A:$D,4,0)/12,0)</f>
        <v>6666.666666666667</v>
      </c>
      <c r="J91" s="38">
        <v>50000</v>
      </c>
      <c r="K91" s="38">
        <v>68000</v>
      </c>
      <c r="L91" s="62">
        <f t="shared" si="10"/>
        <v>1.36</v>
      </c>
      <c r="M91" s="52" t="str">
        <f>IFERROR(VLOOKUP(B91,rep_roster!$A:$L,12,0),E91&amp;"_"&amp;F91)</f>
        <v>AE_Mid-Market</v>
      </c>
      <c r="N91" s="66">
        <f>IFERROR(VLOOKUP(M91,plan_catalog!$A:$G,7,0),0)</f>
        <v>0.1</v>
      </c>
      <c r="O91" s="53">
        <f t="shared" si="11"/>
        <v>6800</v>
      </c>
      <c r="P91" s="66">
        <f>IFERROR(VLOOKUP(M91,plan_catalog!$A:$I,9,0),0)</f>
        <v>1</v>
      </c>
      <c r="Q91" s="67">
        <f>IFERROR(VLOOKUP(M91,plan_catalog!$A:$J,10,0),1)</f>
        <v>1.25</v>
      </c>
      <c r="R91" s="66">
        <f>IFERROR(VLOOKUP(M91,plan_catalog!$A:$K,11,0),0)</f>
        <v>1.2</v>
      </c>
      <c r="S91" s="67">
        <f>IFERROR(VLOOKUP(M91,plan_catalog!$A:$L,12,0),1)</f>
        <v>1.5</v>
      </c>
      <c r="T91" s="68">
        <f t="shared" si="12"/>
        <v>1.5</v>
      </c>
      <c r="U91" s="69">
        <f t="shared" si="13"/>
        <v>10200</v>
      </c>
      <c r="V91" s="57">
        <f t="shared" si="14"/>
        <v>16866.666666666668</v>
      </c>
    </row>
    <row r="92" spans="1:22" ht="15" customHeight="1" x14ac:dyDescent="0.35">
      <c r="A92" s="70">
        <v>88</v>
      </c>
      <c r="B92" s="22" t="s">
        <v>159</v>
      </c>
      <c r="C92" s="22">
        <v>2</v>
      </c>
      <c r="D92" s="49" t="str">
        <f>VLOOKUP(B92,rep_roster!$A:$B,2,0)</f>
        <v>Samantha Lee</v>
      </c>
      <c r="E92" s="58" t="str">
        <f>VLOOKUP(B92,rep_roster!$A:$C,3,0)</f>
        <v>AE</v>
      </c>
      <c r="F92" s="58" t="str">
        <f>VLOOKUP(B92,rep_roster!$A:$D,4,0)</f>
        <v>Mid-Market</v>
      </c>
      <c r="G92" s="58" t="str">
        <f>INDEX({"Jan","Feb","Mar","Apr","May","Jun","Jul","Aug","Sep","Oct","Nov","Dec"},C92)</f>
        <v>Feb</v>
      </c>
      <c r="H92" s="70">
        <v>2025</v>
      </c>
      <c r="I92" s="50">
        <f>IFERROR(VLOOKUP(E92&amp;"_"&amp;F92,plan_catalog!$A:$D,4,0)/12,0)</f>
        <v>6666.666666666667</v>
      </c>
      <c r="J92" s="32">
        <v>50000</v>
      </c>
      <c r="K92" s="32">
        <v>64000</v>
      </c>
      <c r="L92" s="59">
        <f t="shared" si="10"/>
        <v>1.28</v>
      </c>
      <c r="M92" s="49" t="str">
        <f>IFERROR(VLOOKUP(B92,rep_roster!$A:$L,12,0),E92&amp;"_"&amp;F92)</f>
        <v>AE_Mid-Market</v>
      </c>
      <c r="N92" s="72">
        <f>IFERROR(VLOOKUP(M92,plan_catalog!$A:$G,7,0),0)</f>
        <v>0.1</v>
      </c>
      <c r="O92" s="50">
        <f t="shared" si="11"/>
        <v>6400</v>
      </c>
      <c r="P92" s="72">
        <f>IFERROR(VLOOKUP(M92,plan_catalog!$A:$I,9,0),0)</f>
        <v>1</v>
      </c>
      <c r="Q92" s="73">
        <f>IFERROR(VLOOKUP(M92,plan_catalog!$A:$J,10,0),1)</f>
        <v>1.25</v>
      </c>
      <c r="R92" s="72">
        <f>IFERROR(VLOOKUP(M92,plan_catalog!$A:$K,11,0),0)</f>
        <v>1.2</v>
      </c>
      <c r="S92" s="73">
        <f>IFERROR(VLOOKUP(M92,plan_catalog!$A:$L,12,0),1)</f>
        <v>1.5</v>
      </c>
      <c r="T92" s="74">
        <f t="shared" si="12"/>
        <v>1.5</v>
      </c>
      <c r="U92" s="69">
        <f t="shared" si="13"/>
        <v>9600</v>
      </c>
      <c r="V92" s="57">
        <f t="shared" si="14"/>
        <v>16266.666666666668</v>
      </c>
    </row>
    <row r="93" spans="1:22" ht="15" customHeight="1" x14ac:dyDescent="0.35">
      <c r="A93" s="64">
        <v>89</v>
      </c>
      <c r="B93" s="25" t="s">
        <v>159</v>
      </c>
      <c r="C93" s="25">
        <v>3</v>
      </c>
      <c r="D93" s="52" t="str">
        <f>VLOOKUP(B93,rep_roster!$A:$B,2,0)</f>
        <v>Samantha Lee</v>
      </c>
      <c r="E93" s="61" t="str">
        <f>VLOOKUP(B93,rep_roster!$A:$C,3,0)</f>
        <v>AE</v>
      </c>
      <c r="F93" s="61" t="str">
        <f>VLOOKUP(B93,rep_roster!$A:$D,4,0)</f>
        <v>Mid-Market</v>
      </c>
      <c r="G93" s="61" t="str">
        <f>INDEX({"Jan","Feb","Mar","Apr","May","Jun","Jul","Aug","Sep","Oct","Nov","Dec"},C93)</f>
        <v>Mar</v>
      </c>
      <c r="H93" s="64">
        <v>2025</v>
      </c>
      <c r="I93" s="53">
        <f>IFERROR(VLOOKUP(E93&amp;"_"&amp;F93,plan_catalog!$A:$D,4,0)/12,0)</f>
        <v>6666.666666666667</v>
      </c>
      <c r="J93" s="38">
        <v>50000</v>
      </c>
      <c r="K93" s="38">
        <v>72000</v>
      </c>
      <c r="L93" s="62">
        <f t="shared" si="10"/>
        <v>1.44</v>
      </c>
      <c r="M93" s="52" t="str">
        <f>IFERROR(VLOOKUP(B93,rep_roster!$A:$L,12,0),E93&amp;"_"&amp;F93)</f>
        <v>AE_Mid-Market</v>
      </c>
      <c r="N93" s="66">
        <f>IFERROR(VLOOKUP(M93,plan_catalog!$A:$G,7,0),0)</f>
        <v>0.1</v>
      </c>
      <c r="O93" s="53">
        <f t="shared" si="11"/>
        <v>7200</v>
      </c>
      <c r="P93" s="66">
        <f>IFERROR(VLOOKUP(M93,plan_catalog!$A:$I,9,0),0)</f>
        <v>1</v>
      </c>
      <c r="Q93" s="67">
        <f>IFERROR(VLOOKUP(M93,plan_catalog!$A:$J,10,0),1)</f>
        <v>1.25</v>
      </c>
      <c r="R93" s="66">
        <f>IFERROR(VLOOKUP(M93,plan_catalog!$A:$K,11,0),0)</f>
        <v>1.2</v>
      </c>
      <c r="S93" s="67">
        <f>IFERROR(VLOOKUP(M93,plan_catalog!$A:$L,12,0),1)</f>
        <v>1.5</v>
      </c>
      <c r="T93" s="68">
        <f t="shared" si="12"/>
        <v>1.5</v>
      </c>
      <c r="U93" s="69">
        <f t="shared" si="13"/>
        <v>10800</v>
      </c>
      <c r="V93" s="57">
        <f t="shared" si="14"/>
        <v>17466.666666666668</v>
      </c>
    </row>
    <row r="94" spans="1:22" ht="15" customHeight="1" x14ac:dyDescent="0.35">
      <c r="A94" s="70">
        <v>90</v>
      </c>
      <c r="B94" s="22" t="s">
        <v>159</v>
      </c>
      <c r="C94" s="22">
        <v>4</v>
      </c>
      <c r="D94" s="49" t="str">
        <f>VLOOKUP(B94,rep_roster!$A:$B,2,0)</f>
        <v>Samantha Lee</v>
      </c>
      <c r="E94" s="58" t="str">
        <f>VLOOKUP(B94,rep_roster!$A:$C,3,0)</f>
        <v>AE</v>
      </c>
      <c r="F94" s="58" t="str">
        <f>VLOOKUP(B94,rep_roster!$A:$D,4,0)</f>
        <v>Mid-Market</v>
      </c>
      <c r="G94" s="58" t="str">
        <f>INDEX({"Jan","Feb","Mar","Apr","May","Jun","Jul","Aug","Sep","Oct","Nov","Dec"},C94)</f>
        <v>Apr</v>
      </c>
      <c r="H94" s="70">
        <v>2025</v>
      </c>
      <c r="I94" s="50">
        <f>IFERROR(VLOOKUP(E94&amp;"_"&amp;F94,plan_catalog!$A:$D,4,0)/12,0)</f>
        <v>6666.666666666667</v>
      </c>
      <c r="J94" s="32">
        <v>50000</v>
      </c>
      <c r="K94" s="32">
        <v>58000</v>
      </c>
      <c r="L94" s="59">
        <f t="shared" si="10"/>
        <v>1.1599999999999999</v>
      </c>
      <c r="M94" s="49" t="str">
        <f>IFERROR(VLOOKUP(B94,rep_roster!$A:$L,12,0),E94&amp;"_"&amp;F94)</f>
        <v>AE_Mid-Market</v>
      </c>
      <c r="N94" s="72">
        <f>IFERROR(VLOOKUP(M94,plan_catalog!$A:$G,7,0),0)</f>
        <v>0.1</v>
      </c>
      <c r="O94" s="50">
        <f t="shared" si="11"/>
        <v>5800</v>
      </c>
      <c r="P94" s="72">
        <f>IFERROR(VLOOKUP(M94,plan_catalog!$A:$I,9,0),0)</f>
        <v>1</v>
      </c>
      <c r="Q94" s="73">
        <f>IFERROR(VLOOKUP(M94,plan_catalog!$A:$J,10,0),1)</f>
        <v>1.25</v>
      </c>
      <c r="R94" s="72">
        <f>IFERROR(VLOOKUP(M94,plan_catalog!$A:$K,11,0),0)</f>
        <v>1.2</v>
      </c>
      <c r="S94" s="73">
        <f>IFERROR(VLOOKUP(M94,plan_catalog!$A:$L,12,0),1)</f>
        <v>1.5</v>
      </c>
      <c r="T94" s="74">
        <f t="shared" si="12"/>
        <v>1.25</v>
      </c>
      <c r="U94" s="69">
        <f t="shared" si="13"/>
        <v>7250</v>
      </c>
      <c r="V94" s="57">
        <f t="shared" si="14"/>
        <v>13916.666666666668</v>
      </c>
    </row>
    <row r="95" spans="1:22" ht="15" customHeight="1" x14ac:dyDescent="0.35">
      <c r="A95" s="64">
        <v>91</v>
      </c>
      <c r="B95" s="25" t="s">
        <v>159</v>
      </c>
      <c r="C95" s="25">
        <v>5</v>
      </c>
      <c r="D95" s="52" t="str">
        <f>VLOOKUP(B95,rep_roster!$A:$B,2,0)</f>
        <v>Samantha Lee</v>
      </c>
      <c r="E95" s="61" t="str">
        <f>VLOOKUP(B95,rep_roster!$A:$C,3,0)</f>
        <v>AE</v>
      </c>
      <c r="F95" s="61" t="str">
        <f>VLOOKUP(B95,rep_roster!$A:$D,4,0)</f>
        <v>Mid-Market</v>
      </c>
      <c r="G95" s="61" t="str">
        <f>INDEX({"Jan","Feb","Mar","Apr","May","Jun","Jul","Aug","Sep","Oct","Nov","Dec"},C95)</f>
        <v>May</v>
      </c>
      <c r="H95" s="64">
        <v>2025</v>
      </c>
      <c r="I95" s="53">
        <f>IFERROR(VLOOKUP(E95&amp;"_"&amp;F95,plan_catalog!$A:$D,4,0)/12,0)</f>
        <v>6666.666666666667</v>
      </c>
      <c r="J95" s="38">
        <v>50000</v>
      </c>
      <c r="K95" s="38">
        <v>62000</v>
      </c>
      <c r="L95" s="62">
        <f t="shared" si="10"/>
        <v>1.24</v>
      </c>
      <c r="M95" s="52" t="str">
        <f>IFERROR(VLOOKUP(B95,rep_roster!$A:$L,12,0),E95&amp;"_"&amp;F95)</f>
        <v>AE_Mid-Market</v>
      </c>
      <c r="N95" s="66">
        <f>IFERROR(VLOOKUP(M95,plan_catalog!$A:$G,7,0),0)</f>
        <v>0.1</v>
      </c>
      <c r="O95" s="53">
        <f t="shared" si="11"/>
        <v>6200</v>
      </c>
      <c r="P95" s="66">
        <f>IFERROR(VLOOKUP(M95,plan_catalog!$A:$I,9,0),0)</f>
        <v>1</v>
      </c>
      <c r="Q95" s="67">
        <f>IFERROR(VLOOKUP(M95,plan_catalog!$A:$J,10,0),1)</f>
        <v>1.25</v>
      </c>
      <c r="R95" s="66">
        <f>IFERROR(VLOOKUP(M95,plan_catalog!$A:$K,11,0),0)</f>
        <v>1.2</v>
      </c>
      <c r="S95" s="67">
        <f>IFERROR(VLOOKUP(M95,plan_catalog!$A:$L,12,0),1)</f>
        <v>1.5</v>
      </c>
      <c r="T95" s="68">
        <f t="shared" si="12"/>
        <v>1.5</v>
      </c>
      <c r="U95" s="69">
        <f t="shared" si="13"/>
        <v>9300</v>
      </c>
      <c r="V95" s="57">
        <f t="shared" si="14"/>
        <v>15966.666666666668</v>
      </c>
    </row>
    <row r="96" spans="1:22" ht="15" customHeight="1" x14ac:dyDescent="0.35">
      <c r="A96" s="70">
        <v>92</v>
      </c>
      <c r="B96" s="22" t="s">
        <v>159</v>
      </c>
      <c r="C96" s="22">
        <v>6</v>
      </c>
      <c r="D96" s="49" t="str">
        <f>VLOOKUP(B96,rep_roster!$A:$B,2,0)</f>
        <v>Samantha Lee</v>
      </c>
      <c r="E96" s="58" t="str">
        <f>VLOOKUP(B96,rep_roster!$A:$C,3,0)</f>
        <v>AE</v>
      </c>
      <c r="F96" s="58" t="str">
        <f>VLOOKUP(B96,rep_roster!$A:$D,4,0)</f>
        <v>Mid-Market</v>
      </c>
      <c r="G96" s="58" t="str">
        <f>INDEX({"Jan","Feb","Mar","Apr","May","Jun","Jul","Aug","Sep","Oct","Nov","Dec"},C96)</f>
        <v>Jun</v>
      </c>
      <c r="H96" s="70">
        <v>2025</v>
      </c>
      <c r="I96" s="50">
        <f>IFERROR(VLOOKUP(E96&amp;"_"&amp;F96,plan_catalog!$A:$D,4,0)/12,0)</f>
        <v>6666.666666666667</v>
      </c>
      <c r="J96" s="32">
        <v>50000</v>
      </c>
      <c r="K96" s="32">
        <v>55000</v>
      </c>
      <c r="L96" s="59">
        <f t="shared" si="10"/>
        <v>1.1000000000000001</v>
      </c>
      <c r="M96" s="49" t="str">
        <f>IFERROR(VLOOKUP(B96,rep_roster!$A:$L,12,0),E96&amp;"_"&amp;F96)</f>
        <v>AE_Mid-Market</v>
      </c>
      <c r="N96" s="72">
        <f>IFERROR(VLOOKUP(M96,plan_catalog!$A:$G,7,0),0)</f>
        <v>0.1</v>
      </c>
      <c r="O96" s="50">
        <f t="shared" si="11"/>
        <v>5500</v>
      </c>
      <c r="P96" s="72">
        <f>IFERROR(VLOOKUP(M96,plan_catalog!$A:$I,9,0),0)</f>
        <v>1</v>
      </c>
      <c r="Q96" s="73">
        <f>IFERROR(VLOOKUP(M96,plan_catalog!$A:$J,10,0),1)</f>
        <v>1.25</v>
      </c>
      <c r="R96" s="72">
        <f>IFERROR(VLOOKUP(M96,plan_catalog!$A:$K,11,0),0)</f>
        <v>1.2</v>
      </c>
      <c r="S96" s="73">
        <f>IFERROR(VLOOKUP(M96,plan_catalog!$A:$L,12,0),1)</f>
        <v>1.5</v>
      </c>
      <c r="T96" s="74">
        <f t="shared" si="12"/>
        <v>1.25</v>
      </c>
      <c r="U96" s="69">
        <f t="shared" si="13"/>
        <v>6875</v>
      </c>
      <c r="V96" s="57">
        <f t="shared" si="14"/>
        <v>13541.666666666668</v>
      </c>
    </row>
    <row r="97" spans="1:22" ht="15" customHeight="1" x14ac:dyDescent="0.35">
      <c r="A97" s="64">
        <v>93</v>
      </c>
      <c r="B97" s="25" t="s">
        <v>159</v>
      </c>
      <c r="C97" s="25">
        <v>7</v>
      </c>
      <c r="D97" s="52" t="str">
        <f>VLOOKUP(B97,rep_roster!$A:$B,2,0)</f>
        <v>Samantha Lee</v>
      </c>
      <c r="E97" s="61" t="str">
        <f>VLOOKUP(B97,rep_roster!$A:$C,3,0)</f>
        <v>AE</v>
      </c>
      <c r="F97" s="61" t="str">
        <f>VLOOKUP(B97,rep_roster!$A:$D,4,0)</f>
        <v>Mid-Market</v>
      </c>
      <c r="G97" s="61" t="str">
        <f>INDEX({"Jan","Feb","Mar","Apr","May","Jun","Jul","Aug","Sep","Oct","Nov","Dec"},C97)</f>
        <v>Jul</v>
      </c>
      <c r="H97" s="64">
        <v>2025</v>
      </c>
      <c r="I97" s="53">
        <f>IFERROR(VLOOKUP(E97&amp;"_"&amp;F97,plan_catalog!$A:$D,4,0)/12,0)</f>
        <v>6666.666666666667</v>
      </c>
      <c r="J97" s="38">
        <v>50000</v>
      </c>
      <c r="K97" s="38">
        <v>45000</v>
      </c>
      <c r="L97" s="62">
        <f t="shared" si="10"/>
        <v>0.9</v>
      </c>
      <c r="M97" s="52" t="str">
        <f>IFERROR(VLOOKUP(B97,rep_roster!$A:$L,12,0),E97&amp;"_"&amp;F97)</f>
        <v>AE_Mid-Market</v>
      </c>
      <c r="N97" s="66">
        <f>IFERROR(VLOOKUP(M97,plan_catalog!$A:$G,7,0),0)</f>
        <v>0.1</v>
      </c>
      <c r="O97" s="53">
        <f t="shared" si="11"/>
        <v>4500</v>
      </c>
      <c r="P97" s="66">
        <f>IFERROR(VLOOKUP(M97,plan_catalog!$A:$I,9,0),0)</f>
        <v>1</v>
      </c>
      <c r="Q97" s="67">
        <f>IFERROR(VLOOKUP(M97,plan_catalog!$A:$J,10,0),1)</f>
        <v>1.25</v>
      </c>
      <c r="R97" s="66">
        <f>IFERROR(VLOOKUP(M97,plan_catalog!$A:$K,11,0),0)</f>
        <v>1.2</v>
      </c>
      <c r="S97" s="67">
        <f>IFERROR(VLOOKUP(M97,plan_catalog!$A:$L,12,0),1)</f>
        <v>1.5</v>
      </c>
      <c r="T97" s="68">
        <f t="shared" si="12"/>
        <v>1</v>
      </c>
      <c r="U97" s="69">
        <f t="shared" si="13"/>
        <v>4500</v>
      </c>
      <c r="V97" s="57">
        <f t="shared" si="14"/>
        <v>11166.666666666668</v>
      </c>
    </row>
    <row r="98" spans="1:22" ht="15" customHeight="1" x14ac:dyDescent="0.35">
      <c r="A98" s="70">
        <v>94</v>
      </c>
      <c r="B98" s="22" t="s">
        <v>159</v>
      </c>
      <c r="C98" s="22">
        <v>8</v>
      </c>
      <c r="D98" s="49" t="str">
        <f>VLOOKUP(B98,rep_roster!$A:$B,2,0)</f>
        <v>Samantha Lee</v>
      </c>
      <c r="E98" s="58" t="str">
        <f>VLOOKUP(B98,rep_roster!$A:$C,3,0)</f>
        <v>AE</v>
      </c>
      <c r="F98" s="58" t="str">
        <f>VLOOKUP(B98,rep_roster!$A:$D,4,0)</f>
        <v>Mid-Market</v>
      </c>
      <c r="G98" s="58" t="str">
        <f>INDEX({"Jan","Feb","Mar","Apr","May","Jun","Jul","Aug","Sep","Oct","Nov","Dec"},C98)</f>
        <v>Aug</v>
      </c>
      <c r="H98" s="70">
        <v>2025</v>
      </c>
      <c r="I98" s="50">
        <f>IFERROR(VLOOKUP(E98&amp;"_"&amp;F98,plan_catalog!$A:$D,4,0)/12,0)</f>
        <v>6666.666666666667</v>
      </c>
      <c r="J98" s="32">
        <v>50000</v>
      </c>
      <c r="K98" s="32">
        <v>42000</v>
      </c>
      <c r="L98" s="59">
        <f t="shared" si="10"/>
        <v>0.84</v>
      </c>
      <c r="M98" s="49" t="str">
        <f>IFERROR(VLOOKUP(B98,rep_roster!$A:$L,12,0),E98&amp;"_"&amp;F98)</f>
        <v>AE_Mid-Market</v>
      </c>
      <c r="N98" s="72">
        <f>IFERROR(VLOOKUP(M98,plan_catalog!$A:$G,7,0),0)</f>
        <v>0.1</v>
      </c>
      <c r="O98" s="50">
        <f t="shared" si="11"/>
        <v>4200</v>
      </c>
      <c r="P98" s="72">
        <f>IFERROR(VLOOKUP(M98,plan_catalog!$A:$I,9,0),0)</f>
        <v>1</v>
      </c>
      <c r="Q98" s="73">
        <f>IFERROR(VLOOKUP(M98,plan_catalog!$A:$J,10,0),1)</f>
        <v>1.25</v>
      </c>
      <c r="R98" s="72">
        <f>IFERROR(VLOOKUP(M98,plan_catalog!$A:$K,11,0),0)</f>
        <v>1.2</v>
      </c>
      <c r="S98" s="73">
        <f>IFERROR(VLOOKUP(M98,plan_catalog!$A:$L,12,0),1)</f>
        <v>1.5</v>
      </c>
      <c r="T98" s="74">
        <f t="shared" si="12"/>
        <v>1</v>
      </c>
      <c r="U98" s="69">
        <f t="shared" si="13"/>
        <v>4200</v>
      </c>
      <c r="V98" s="57">
        <f t="shared" si="14"/>
        <v>10866.666666666668</v>
      </c>
    </row>
    <row r="99" spans="1:22" ht="15" customHeight="1" x14ac:dyDescent="0.35">
      <c r="A99" s="64">
        <v>95</v>
      </c>
      <c r="B99" s="25" t="s">
        <v>159</v>
      </c>
      <c r="C99" s="25">
        <v>9</v>
      </c>
      <c r="D99" s="52" t="str">
        <f>VLOOKUP(B99,rep_roster!$A:$B,2,0)</f>
        <v>Samantha Lee</v>
      </c>
      <c r="E99" s="61" t="str">
        <f>VLOOKUP(B99,rep_roster!$A:$C,3,0)</f>
        <v>AE</v>
      </c>
      <c r="F99" s="61" t="str">
        <f>VLOOKUP(B99,rep_roster!$A:$D,4,0)</f>
        <v>Mid-Market</v>
      </c>
      <c r="G99" s="61" t="str">
        <f>INDEX({"Jan","Feb","Mar","Apr","May","Jun","Jul","Aug","Sep","Oct","Nov","Dec"},C99)</f>
        <v>Sep</v>
      </c>
      <c r="H99" s="64">
        <v>2025</v>
      </c>
      <c r="I99" s="53">
        <f>IFERROR(VLOOKUP(E99&amp;"_"&amp;F99,plan_catalog!$A:$D,4,0)/12,0)</f>
        <v>6666.666666666667</v>
      </c>
      <c r="J99" s="38">
        <v>50000</v>
      </c>
      <c r="K99" s="38">
        <v>50000</v>
      </c>
      <c r="L99" s="62">
        <f t="shared" si="10"/>
        <v>1</v>
      </c>
      <c r="M99" s="52" t="str">
        <f>IFERROR(VLOOKUP(B99,rep_roster!$A:$L,12,0),E99&amp;"_"&amp;F99)</f>
        <v>AE_Mid-Market</v>
      </c>
      <c r="N99" s="66">
        <f>IFERROR(VLOOKUP(M99,plan_catalog!$A:$G,7,0),0)</f>
        <v>0.1</v>
      </c>
      <c r="O99" s="53">
        <f t="shared" si="11"/>
        <v>5000</v>
      </c>
      <c r="P99" s="66">
        <f>IFERROR(VLOOKUP(M99,plan_catalog!$A:$I,9,0),0)</f>
        <v>1</v>
      </c>
      <c r="Q99" s="67">
        <f>IFERROR(VLOOKUP(M99,plan_catalog!$A:$J,10,0),1)</f>
        <v>1.25</v>
      </c>
      <c r="R99" s="66">
        <f>IFERROR(VLOOKUP(M99,plan_catalog!$A:$K,11,0),0)</f>
        <v>1.2</v>
      </c>
      <c r="S99" s="67">
        <f>IFERROR(VLOOKUP(M99,plan_catalog!$A:$L,12,0),1)</f>
        <v>1.5</v>
      </c>
      <c r="T99" s="68">
        <f t="shared" si="12"/>
        <v>1.25</v>
      </c>
      <c r="U99" s="69">
        <f t="shared" si="13"/>
        <v>6250</v>
      </c>
      <c r="V99" s="57">
        <f t="shared" si="14"/>
        <v>12916.666666666668</v>
      </c>
    </row>
    <row r="100" spans="1:22" ht="15" customHeight="1" x14ac:dyDescent="0.35">
      <c r="A100" s="70">
        <v>96</v>
      </c>
      <c r="B100" s="22" t="s">
        <v>159</v>
      </c>
      <c r="C100" s="22">
        <v>10</v>
      </c>
      <c r="D100" s="49" t="str">
        <f>VLOOKUP(B100,rep_roster!$A:$B,2,0)</f>
        <v>Samantha Lee</v>
      </c>
      <c r="E100" s="58" t="str">
        <f>VLOOKUP(B100,rep_roster!$A:$C,3,0)</f>
        <v>AE</v>
      </c>
      <c r="F100" s="58" t="str">
        <f>VLOOKUP(B100,rep_roster!$A:$D,4,0)</f>
        <v>Mid-Market</v>
      </c>
      <c r="G100" s="58" t="str">
        <f>INDEX({"Jan","Feb","Mar","Apr","May","Jun","Jul","Aug","Sep","Oct","Nov","Dec"},C100)</f>
        <v>Oct</v>
      </c>
      <c r="H100" s="70">
        <v>2025</v>
      </c>
      <c r="I100" s="50">
        <f>IFERROR(VLOOKUP(E100&amp;"_"&amp;F100,plan_catalog!$A:$D,4,0)/12,0)</f>
        <v>6666.666666666667</v>
      </c>
      <c r="J100" s="32">
        <v>50000</v>
      </c>
      <c r="K100" s="32">
        <v>40000</v>
      </c>
      <c r="L100" s="59">
        <f t="shared" si="10"/>
        <v>0.8</v>
      </c>
      <c r="M100" s="49" t="str">
        <f>IFERROR(VLOOKUP(B100,rep_roster!$A:$L,12,0),E100&amp;"_"&amp;F100)</f>
        <v>AE_Mid-Market</v>
      </c>
      <c r="N100" s="72">
        <f>IFERROR(VLOOKUP(M100,plan_catalog!$A:$G,7,0),0)</f>
        <v>0.1</v>
      </c>
      <c r="O100" s="50">
        <f t="shared" si="11"/>
        <v>4000</v>
      </c>
      <c r="P100" s="72">
        <f>IFERROR(VLOOKUP(M100,plan_catalog!$A:$I,9,0),0)</f>
        <v>1</v>
      </c>
      <c r="Q100" s="73">
        <f>IFERROR(VLOOKUP(M100,plan_catalog!$A:$J,10,0),1)</f>
        <v>1.25</v>
      </c>
      <c r="R100" s="72">
        <f>IFERROR(VLOOKUP(M100,plan_catalog!$A:$K,11,0),0)</f>
        <v>1.2</v>
      </c>
      <c r="S100" s="73">
        <f>IFERROR(VLOOKUP(M100,plan_catalog!$A:$L,12,0),1)</f>
        <v>1.5</v>
      </c>
      <c r="T100" s="74">
        <f t="shared" si="12"/>
        <v>1</v>
      </c>
      <c r="U100" s="69">
        <f t="shared" si="13"/>
        <v>4000</v>
      </c>
      <c r="V100" s="57">
        <f t="shared" si="14"/>
        <v>10666.666666666668</v>
      </c>
    </row>
    <row r="101" spans="1:22" ht="15" customHeight="1" x14ac:dyDescent="0.35">
      <c r="A101" s="64">
        <v>97</v>
      </c>
      <c r="B101" s="25" t="s">
        <v>159</v>
      </c>
      <c r="C101" s="25">
        <v>11</v>
      </c>
      <c r="D101" s="52" t="str">
        <f>VLOOKUP(B101,rep_roster!$A:$B,2,0)</f>
        <v>Samantha Lee</v>
      </c>
      <c r="E101" s="61" t="str">
        <f>VLOOKUP(B101,rep_roster!$A:$C,3,0)</f>
        <v>AE</v>
      </c>
      <c r="F101" s="61" t="str">
        <f>VLOOKUP(B101,rep_roster!$A:$D,4,0)</f>
        <v>Mid-Market</v>
      </c>
      <c r="G101" s="61" t="str">
        <f>INDEX({"Jan","Feb","Mar","Apr","May","Jun","Jul","Aug","Sep","Oct","Nov","Dec"},C101)</f>
        <v>Nov</v>
      </c>
      <c r="H101" s="64">
        <v>2025</v>
      </c>
      <c r="I101" s="53">
        <f>IFERROR(VLOOKUP(E101&amp;"_"&amp;F101,plan_catalog!$A:$D,4,0)/12,0)</f>
        <v>6666.666666666667</v>
      </c>
      <c r="J101" s="38">
        <v>50000</v>
      </c>
      <c r="K101" s="38">
        <v>45000</v>
      </c>
      <c r="L101" s="62">
        <f t="shared" ref="L101:L132" si="15">IF(J101&gt;0,K101/J101,0)</f>
        <v>0.9</v>
      </c>
      <c r="M101" s="52" t="str">
        <f>IFERROR(VLOOKUP(B101,rep_roster!$A:$L,12,0),E101&amp;"_"&amp;F101)</f>
        <v>AE_Mid-Market</v>
      </c>
      <c r="N101" s="66">
        <f>IFERROR(VLOOKUP(M101,plan_catalog!$A:$G,7,0),0)</f>
        <v>0.1</v>
      </c>
      <c r="O101" s="53">
        <f t="shared" ref="O101:O132" si="16">K101*N101</f>
        <v>4500</v>
      </c>
      <c r="P101" s="66">
        <f>IFERROR(VLOOKUP(M101,plan_catalog!$A:$I,9,0),0)</f>
        <v>1</v>
      </c>
      <c r="Q101" s="67">
        <f>IFERROR(VLOOKUP(M101,plan_catalog!$A:$J,10,0),1)</f>
        <v>1.25</v>
      </c>
      <c r="R101" s="66">
        <f>IFERROR(VLOOKUP(M101,plan_catalog!$A:$K,11,0),0)</f>
        <v>1.2</v>
      </c>
      <c r="S101" s="67">
        <f>IFERROR(VLOOKUP(M101,plan_catalog!$A:$L,12,0),1)</f>
        <v>1.5</v>
      </c>
      <c r="T101" s="68">
        <f t="shared" ref="T101:T132" si="17">IF(AND(R101&gt;0,L101&gt;=R101),S101,IF(AND(P101&gt;0,L101&gt;=P101),Q101,1))</f>
        <v>1</v>
      </c>
      <c r="U101" s="69">
        <f t="shared" ref="U101:U132" si="18">O101*T101</f>
        <v>4500</v>
      </c>
      <c r="V101" s="57">
        <f t="shared" ref="V101:V132" si="19">I101+U101</f>
        <v>11166.666666666668</v>
      </c>
    </row>
    <row r="102" spans="1:22" ht="15" customHeight="1" x14ac:dyDescent="0.35">
      <c r="A102" s="70">
        <v>98</v>
      </c>
      <c r="B102" s="22" t="s">
        <v>159</v>
      </c>
      <c r="C102" s="22">
        <v>12</v>
      </c>
      <c r="D102" s="49" t="str">
        <f>VLOOKUP(B102,rep_roster!$A:$B,2,0)</f>
        <v>Samantha Lee</v>
      </c>
      <c r="E102" s="58" t="str">
        <f>VLOOKUP(B102,rep_roster!$A:$C,3,0)</f>
        <v>AE</v>
      </c>
      <c r="F102" s="58" t="str">
        <f>VLOOKUP(B102,rep_roster!$A:$D,4,0)</f>
        <v>Mid-Market</v>
      </c>
      <c r="G102" s="58" t="str">
        <f>INDEX({"Jan","Feb","Mar","Apr","May","Jun","Jul","Aug","Sep","Oct","Nov","Dec"},C102)</f>
        <v>Dec</v>
      </c>
      <c r="H102" s="70">
        <v>2025</v>
      </c>
      <c r="I102" s="50">
        <f>IFERROR(VLOOKUP(E102&amp;"_"&amp;F102,plan_catalog!$A:$D,4,0)/12,0)</f>
        <v>6666.666666666667</v>
      </c>
      <c r="J102" s="32">
        <v>50000</v>
      </c>
      <c r="K102" s="32">
        <v>58000</v>
      </c>
      <c r="L102" s="59">
        <f t="shared" si="15"/>
        <v>1.1599999999999999</v>
      </c>
      <c r="M102" s="49" t="str">
        <f>IFERROR(VLOOKUP(B102,rep_roster!$A:$L,12,0),E102&amp;"_"&amp;F102)</f>
        <v>AE_Mid-Market</v>
      </c>
      <c r="N102" s="72">
        <f>IFERROR(VLOOKUP(M102,plan_catalog!$A:$G,7,0),0)</f>
        <v>0.1</v>
      </c>
      <c r="O102" s="50">
        <f t="shared" si="16"/>
        <v>5800</v>
      </c>
      <c r="P102" s="72">
        <f>IFERROR(VLOOKUP(M102,plan_catalog!$A:$I,9,0),0)</f>
        <v>1</v>
      </c>
      <c r="Q102" s="73">
        <f>IFERROR(VLOOKUP(M102,plan_catalog!$A:$J,10,0),1)</f>
        <v>1.25</v>
      </c>
      <c r="R102" s="72">
        <f>IFERROR(VLOOKUP(M102,plan_catalog!$A:$K,11,0),0)</f>
        <v>1.2</v>
      </c>
      <c r="S102" s="73">
        <f>IFERROR(VLOOKUP(M102,plan_catalog!$A:$L,12,0),1)</f>
        <v>1.5</v>
      </c>
      <c r="T102" s="74">
        <f t="shared" si="17"/>
        <v>1.25</v>
      </c>
      <c r="U102" s="69">
        <f t="shared" si="18"/>
        <v>7250</v>
      </c>
      <c r="V102" s="57">
        <f t="shared" si="19"/>
        <v>13916.666666666668</v>
      </c>
    </row>
    <row r="103" spans="1:22" ht="15" customHeight="1" x14ac:dyDescent="0.35">
      <c r="A103" s="64">
        <v>99</v>
      </c>
      <c r="B103" s="25" t="s">
        <v>161</v>
      </c>
      <c r="C103" s="25">
        <v>1</v>
      </c>
      <c r="D103" s="52" t="str">
        <f>VLOOKUP(B103,rep_roster!$A:$B,2,0)</f>
        <v>Daniel Foster</v>
      </c>
      <c r="E103" s="61" t="str">
        <f>VLOOKUP(B103,rep_roster!$A:$C,3,0)</f>
        <v>CSM</v>
      </c>
      <c r="F103" s="61" t="str">
        <f>VLOOKUP(B103,rep_roster!$A:$D,4,0)</f>
        <v>Mid-Market</v>
      </c>
      <c r="G103" s="61" t="str">
        <f>INDEX({"Jan","Feb","Mar","Apr","May","Jun","Jul","Aug","Sep","Oct","Nov","Dec"},C103)</f>
        <v>Jan</v>
      </c>
      <c r="H103" s="64">
        <v>2025</v>
      </c>
      <c r="I103" s="53">
        <f>IFERROR(VLOOKUP(E103&amp;"_"&amp;F103,plan_catalog!$A:$D,4,0)/12,0)</f>
        <v>5833.333333333333</v>
      </c>
      <c r="J103" s="38">
        <v>15000</v>
      </c>
      <c r="K103" s="38">
        <v>20000</v>
      </c>
      <c r="L103" s="62">
        <f t="shared" si="15"/>
        <v>1.3333333333333333</v>
      </c>
      <c r="M103" s="52" t="str">
        <f>IFERROR(VLOOKUP(B103,rep_roster!$A:$L,12,0),E103&amp;"_"&amp;F103)</f>
        <v>CSM_Mid-Market</v>
      </c>
      <c r="N103" s="66">
        <f>IFERROR(VLOOKUP(M103,plan_catalog!$A:$G,7,0),0)</f>
        <v>0.06</v>
      </c>
      <c r="O103" s="53">
        <f t="shared" si="16"/>
        <v>1200</v>
      </c>
      <c r="P103" s="66">
        <f>IFERROR(VLOOKUP(M103,plan_catalog!$A:$I,9,0),0)</f>
        <v>1.05</v>
      </c>
      <c r="Q103" s="67">
        <f>IFERROR(VLOOKUP(M103,plan_catalog!$A:$J,10,0),1)</f>
        <v>1.2</v>
      </c>
      <c r="R103" s="66" t="str">
        <f>IFERROR(VLOOKUP(M103,plan_catalog!$A:$K,11,0),0)</f>
        <v>—</v>
      </c>
      <c r="S103" s="67" t="str">
        <f>IFERROR(VLOOKUP(M103,plan_catalog!$A:$L,12,0),1)</f>
        <v>—</v>
      </c>
      <c r="T103" s="68">
        <f t="shared" si="17"/>
        <v>1.2</v>
      </c>
      <c r="U103" s="69">
        <f t="shared" si="18"/>
        <v>1440</v>
      </c>
      <c r="V103" s="57">
        <f t="shared" si="19"/>
        <v>7273.333333333333</v>
      </c>
    </row>
    <row r="104" spans="1:22" ht="15" customHeight="1" x14ac:dyDescent="0.35">
      <c r="A104" s="70">
        <v>100</v>
      </c>
      <c r="B104" s="22" t="s">
        <v>161</v>
      </c>
      <c r="C104" s="22">
        <v>2</v>
      </c>
      <c r="D104" s="49" t="str">
        <f>VLOOKUP(B104,rep_roster!$A:$B,2,0)</f>
        <v>Daniel Foster</v>
      </c>
      <c r="E104" s="58" t="str">
        <f>VLOOKUP(B104,rep_roster!$A:$C,3,0)</f>
        <v>CSM</v>
      </c>
      <c r="F104" s="58" t="str">
        <f>VLOOKUP(B104,rep_roster!$A:$D,4,0)</f>
        <v>Mid-Market</v>
      </c>
      <c r="G104" s="58" t="str">
        <f>INDEX({"Jan","Feb","Mar","Apr","May","Jun","Jul","Aug","Sep","Oct","Nov","Dec"},C104)</f>
        <v>Feb</v>
      </c>
      <c r="H104" s="70">
        <v>2025</v>
      </c>
      <c r="I104" s="50">
        <f>IFERROR(VLOOKUP(E104&amp;"_"&amp;F104,plan_catalog!$A:$D,4,0)/12,0)</f>
        <v>5833.333333333333</v>
      </c>
      <c r="J104" s="32">
        <v>15000</v>
      </c>
      <c r="K104" s="32">
        <v>18000</v>
      </c>
      <c r="L104" s="59">
        <f t="shared" si="15"/>
        <v>1.2</v>
      </c>
      <c r="M104" s="49" t="str">
        <f>IFERROR(VLOOKUP(B104,rep_roster!$A:$L,12,0),E104&amp;"_"&amp;F104)</f>
        <v>CSM_Mid-Market</v>
      </c>
      <c r="N104" s="72">
        <f>IFERROR(VLOOKUP(M104,plan_catalog!$A:$G,7,0),0)</f>
        <v>0.06</v>
      </c>
      <c r="O104" s="50">
        <f t="shared" si="16"/>
        <v>1080</v>
      </c>
      <c r="P104" s="72">
        <f>IFERROR(VLOOKUP(M104,plan_catalog!$A:$I,9,0),0)</f>
        <v>1.05</v>
      </c>
      <c r="Q104" s="73">
        <f>IFERROR(VLOOKUP(M104,plan_catalog!$A:$J,10,0),1)</f>
        <v>1.2</v>
      </c>
      <c r="R104" s="72" t="str">
        <f>IFERROR(VLOOKUP(M104,plan_catalog!$A:$K,11,0),0)</f>
        <v>—</v>
      </c>
      <c r="S104" s="73" t="str">
        <f>IFERROR(VLOOKUP(M104,plan_catalog!$A:$L,12,0),1)</f>
        <v>—</v>
      </c>
      <c r="T104" s="74">
        <f t="shared" si="17"/>
        <v>1.2</v>
      </c>
      <c r="U104" s="69">
        <f t="shared" si="18"/>
        <v>1296</v>
      </c>
      <c r="V104" s="57">
        <f t="shared" si="19"/>
        <v>7129.333333333333</v>
      </c>
    </row>
    <row r="105" spans="1:22" ht="15" customHeight="1" x14ac:dyDescent="0.35">
      <c r="A105" s="64">
        <v>101</v>
      </c>
      <c r="B105" s="25" t="s">
        <v>161</v>
      </c>
      <c r="C105" s="25">
        <v>3</v>
      </c>
      <c r="D105" s="52" t="str">
        <f>VLOOKUP(B105,rep_roster!$A:$B,2,0)</f>
        <v>Daniel Foster</v>
      </c>
      <c r="E105" s="61" t="str">
        <f>VLOOKUP(B105,rep_roster!$A:$C,3,0)</f>
        <v>CSM</v>
      </c>
      <c r="F105" s="61" t="str">
        <f>VLOOKUP(B105,rep_roster!$A:$D,4,0)</f>
        <v>Mid-Market</v>
      </c>
      <c r="G105" s="61" t="str">
        <f>INDEX({"Jan","Feb","Mar","Apr","May","Jun","Jul","Aug","Sep","Oct","Nov","Dec"},C105)</f>
        <v>Mar</v>
      </c>
      <c r="H105" s="64">
        <v>2025</v>
      </c>
      <c r="I105" s="53">
        <f>IFERROR(VLOOKUP(E105&amp;"_"&amp;F105,plan_catalog!$A:$D,4,0)/12,0)</f>
        <v>5833.333333333333</v>
      </c>
      <c r="J105" s="38">
        <v>15000</v>
      </c>
      <c r="K105" s="38">
        <v>22000</v>
      </c>
      <c r="L105" s="62">
        <f t="shared" si="15"/>
        <v>1.4666666666666666</v>
      </c>
      <c r="M105" s="52" t="str">
        <f>IFERROR(VLOOKUP(B105,rep_roster!$A:$L,12,0),E105&amp;"_"&amp;F105)</f>
        <v>CSM_Mid-Market</v>
      </c>
      <c r="N105" s="66">
        <f>IFERROR(VLOOKUP(M105,plan_catalog!$A:$G,7,0),0)</f>
        <v>0.06</v>
      </c>
      <c r="O105" s="53">
        <f t="shared" si="16"/>
        <v>1320</v>
      </c>
      <c r="P105" s="66">
        <f>IFERROR(VLOOKUP(M105,plan_catalog!$A:$I,9,0),0)</f>
        <v>1.05</v>
      </c>
      <c r="Q105" s="67">
        <f>IFERROR(VLOOKUP(M105,plan_catalog!$A:$J,10,0),1)</f>
        <v>1.2</v>
      </c>
      <c r="R105" s="66" t="str">
        <f>IFERROR(VLOOKUP(M105,plan_catalog!$A:$K,11,0),0)</f>
        <v>—</v>
      </c>
      <c r="S105" s="67" t="str">
        <f>IFERROR(VLOOKUP(M105,plan_catalog!$A:$L,12,0),1)</f>
        <v>—</v>
      </c>
      <c r="T105" s="68">
        <f t="shared" si="17"/>
        <v>1.2</v>
      </c>
      <c r="U105" s="69">
        <f t="shared" si="18"/>
        <v>1584</v>
      </c>
      <c r="V105" s="57">
        <f t="shared" si="19"/>
        <v>7417.333333333333</v>
      </c>
    </row>
    <row r="106" spans="1:22" ht="15" customHeight="1" x14ac:dyDescent="0.35">
      <c r="A106" s="70">
        <v>102</v>
      </c>
      <c r="B106" s="22" t="s">
        <v>161</v>
      </c>
      <c r="C106" s="22">
        <v>4</v>
      </c>
      <c r="D106" s="49" t="str">
        <f>VLOOKUP(B106,rep_roster!$A:$B,2,0)</f>
        <v>Daniel Foster</v>
      </c>
      <c r="E106" s="58" t="str">
        <f>VLOOKUP(B106,rep_roster!$A:$C,3,0)</f>
        <v>CSM</v>
      </c>
      <c r="F106" s="58" t="str">
        <f>VLOOKUP(B106,rep_roster!$A:$D,4,0)</f>
        <v>Mid-Market</v>
      </c>
      <c r="G106" s="58" t="str">
        <f>INDEX({"Jan","Feb","Mar","Apr","May","Jun","Jul","Aug","Sep","Oct","Nov","Dec"},C106)</f>
        <v>Apr</v>
      </c>
      <c r="H106" s="70">
        <v>2025</v>
      </c>
      <c r="I106" s="50">
        <f>IFERROR(VLOOKUP(E106&amp;"_"&amp;F106,plan_catalog!$A:$D,4,0)/12,0)</f>
        <v>5833.333333333333</v>
      </c>
      <c r="J106" s="32">
        <v>15000</v>
      </c>
      <c r="K106" s="32">
        <v>17000</v>
      </c>
      <c r="L106" s="59">
        <f t="shared" si="15"/>
        <v>1.1333333333333333</v>
      </c>
      <c r="M106" s="49" t="str">
        <f>IFERROR(VLOOKUP(B106,rep_roster!$A:$L,12,0),E106&amp;"_"&amp;F106)</f>
        <v>CSM_Mid-Market</v>
      </c>
      <c r="N106" s="72">
        <f>IFERROR(VLOOKUP(M106,plan_catalog!$A:$G,7,0),0)</f>
        <v>0.06</v>
      </c>
      <c r="O106" s="50">
        <f t="shared" si="16"/>
        <v>1020</v>
      </c>
      <c r="P106" s="72">
        <f>IFERROR(VLOOKUP(M106,plan_catalog!$A:$I,9,0),0)</f>
        <v>1.05</v>
      </c>
      <c r="Q106" s="73">
        <f>IFERROR(VLOOKUP(M106,plan_catalog!$A:$J,10,0),1)</f>
        <v>1.2</v>
      </c>
      <c r="R106" s="72" t="str">
        <f>IFERROR(VLOOKUP(M106,plan_catalog!$A:$K,11,0),0)</f>
        <v>—</v>
      </c>
      <c r="S106" s="73" t="str">
        <f>IFERROR(VLOOKUP(M106,plan_catalog!$A:$L,12,0),1)</f>
        <v>—</v>
      </c>
      <c r="T106" s="74">
        <f t="shared" si="17"/>
        <v>1.2</v>
      </c>
      <c r="U106" s="69">
        <f t="shared" si="18"/>
        <v>1224</v>
      </c>
      <c r="V106" s="57">
        <f t="shared" si="19"/>
        <v>7057.333333333333</v>
      </c>
    </row>
    <row r="107" spans="1:22" ht="15" customHeight="1" x14ac:dyDescent="0.35">
      <c r="A107" s="64">
        <v>103</v>
      </c>
      <c r="B107" s="25" t="s">
        <v>161</v>
      </c>
      <c r="C107" s="25">
        <v>5</v>
      </c>
      <c r="D107" s="52" t="str">
        <f>VLOOKUP(B107,rep_roster!$A:$B,2,0)</f>
        <v>Daniel Foster</v>
      </c>
      <c r="E107" s="61" t="str">
        <f>VLOOKUP(B107,rep_roster!$A:$C,3,0)</f>
        <v>CSM</v>
      </c>
      <c r="F107" s="61" t="str">
        <f>VLOOKUP(B107,rep_roster!$A:$D,4,0)</f>
        <v>Mid-Market</v>
      </c>
      <c r="G107" s="61" t="str">
        <f>INDEX({"Jan","Feb","Mar","Apr","May","Jun","Jul","Aug","Sep","Oct","Nov","Dec"},C107)</f>
        <v>May</v>
      </c>
      <c r="H107" s="64">
        <v>2025</v>
      </c>
      <c r="I107" s="53">
        <f>IFERROR(VLOOKUP(E107&amp;"_"&amp;F107,plan_catalog!$A:$D,4,0)/12,0)</f>
        <v>5833.333333333333</v>
      </c>
      <c r="J107" s="38">
        <v>15000</v>
      </c>
      <c r="K107" s="38">
        <v>16000</v>
      </c>
      <c r="L107" s="62">
        <f t="shared" si="15"/>
        <v>1.0666666666666667</v>
      </c>
      <c r="M107" s="52" t="str">
        <f>IFERROR(VLOOKUP(B107,rep_roster!$A:$L,12,0),E107&amp;"_"&amp;F107)</f>
        <v>CSM_Mid-Market</v>
      </c>
      <c r="N107" s="66">
        <f>IFERROR(VLOOKUP(M107,plan_catalog!$A:$G,7,0),0)</f>
        <v>0.06</v>
      </c>
      <c r="O107" s="53">
        <f t="shared" si="16"/>
        <v>960</v>
      </c>
      <c r="P107" s="66">
        <f>IFERROR(VLOOKUP(M107,plan_catalog!$A:$I,9,0),0)</f>
        <v>1.05</v>
      </c>
      <c r="Q107" s="67">
        <f>IFERROR(VLOOKUP(M107,plan_catalog!$A:$J,10,0),1)</f>
        <v>1.2</v>
      </c>
      <c r="R107" s="66" t="str">
        <f>IFERROR(VLOOKUP(M107,plan_catalog!$A:$K,11,0),0)</f>
        <v>—</v>
      </c>
      <c r="S107" s="67" t="str">
        <f>IFERROR(VLOOKUP(M107,plan_catalog!$A:$L,12,0),1)</f>
        <v>—</v>
      </c>
      <c r="T107" s="68">
        <f t="shared" si="17"/>
        <v>1.2</v>
      </c>
      <c r="U107" s="69">
        <f t="shared" si="18"/>
        <v>1152</v>
      </c>
      <c r="V107" s="57">
        <f t="shared" si="19"/>
        <v>6985.333333333333</v>
      </c>
    </row>
    <row r="108" spans="1:22" ht="15" customHeight="1" x14ac:dyDescent="0.35">
      <c r="A108" s="70">
        <v>104</v>
      </c>
      <c r="B108" s="22" t="s">
        <v>161</v>
      </c>
      <c r="C108" s="22">
        <v>6</v>
      </c>
      <c r="D108" s="49" t="str">
        <f>VLOOKUP(B108,rep_roster!$A:$B,2,0)</f>
        <v>Daniel Foster</v>
      </c>
      <c r="E108" s="58" t="str">
        <f>VLOOKUP(B108,rep_roster!$A:$C,3,0)</f>
        <v>CSM</v>
      </c>
      <c r="F108" s="58" t="str">
        <f>VLOOKUP(B108,rep_roster!$A:$D,4,0)</f>
        <v>Mid-Market</v>
      </c>
      <c r="G108" s="58" t="str">
        <f>INDEX({"Jan","Feb","Mar","Apr","May","Jun","Jul","Aug","Sep","Oct","Nov","Dec"},C108)</f>
        <v>Jun</v>
      </c>
      <c r="H108" s="70">
        <v>2025</v>
      </c>
      <c r="I108" s="50">
        <f>IFERROR(VLOOKUP(E108&amp;"_"&amp;F108,plan_catalog!$A:$D,4,0)/12,0)</f>
        <v>5833.333333333333</v>
      </c>
      <c r="J108" s="32">
        <v>15000</v>
      </c>
      <c r="K108" s="32">
        <v>18000</v>
      </c>
      <c r="L108" s="59">
        <f t="shared" si="15"/>
        <v>1.2</v>
      </c>
      <c r="M108" s="49" t="str">
        <f>IFERROR(VLOOKUP(B108,rep_roster!$A:$L,12,0),E108&amp;"_"&amp;F108)</f>
        <v>CSM_Mid-Market</v>
      </c>
      <c r="N108" s="72">
        <f>IFERROR(VLOOKUP(M108,plan_catalog!$A:$G,7,0),0)</f>
        <v>0.06</v>
      </c>
      <c r="O108" s="50">
        <f t="shared" si="16"/>
        <v>1080</v>
      </c>
      <c r="P108" s="72">
        <f>IFERROR(VLOOKUP(M108,plan_catalog!$A:$I,9,0),0)</f>
        <v>1.05</v>
      </c>
      <c r="Q108" s="73">
        <f>IFERROR(VLOOKUP(M108,plan_catalog!$A:$J,10,0),1)</f>
        <v>1.2</v>
      </c>
      <c r="R108" s="72" t="str">
        <f>IFERROR(VLOOKUP(M108,plan_catalog!$A:$K,11,0),0)</f>
        <v>—</v>
      </c>
      <c r="S108" s="73" t="str">
        <f>IFERROR(VLOOKUP(M108,plan_catalog!$A:$L,12,0),1)</f>
        <v>—</v>
      </c>
      <c r="T108" s="74">
        <f t="shared" si="17"/>
        <v>1.2</v>
      </c>
      <c r="U108" s="69">
        <f t="shared" si="18"/>
        <v>1296</v>
      </c>
      <c r="V108" s="57">
        <f t="shared" si="19"/>
        <v>7129.333333333333</v>
      </c>
    </row>
    <row r="109" spans="1:22" ht="15" customHeight="1" x14ac:dyDescent="0.35">
      <c r="A109" s="64">
        <v>105</v>
      </c>
      <c r="B109" s="25" t="s">
        <v>161</v>
      </c>
      <c r="C109" s="25">
        <v>7</v>
      </c>
      <c r="D109" s="52" t="str">
        <f>VLOOKUP(B109,rep_roster!$A:$B,2,0)</f>
        <v>Daniel Foster</v>
      </c>
      <c r="E109" s="61" t="str">
        <f>VLOOKUP(B109,rep_roster!$A:$C,3,0)</f>
        <v>CSM</v>
      </c>
      <c r="F109" s="61" t="str">
        <f>VLOOKUP(B109,rep_roster!$A:$D,4,0)</f>
        <v>Mid-Market</v>
      </c>
      <c r="G109" s="61" t="str">
        <f>INDEX({"Jan","Feb","Mar","Apr","May","Jun","Jul","Aug","Sep","Oct","Nov","Dec"},C109)</f>
        <v>Jul</v>
      </c>
      <c r="H109" s="64">
        <v>2025</v>
      </c>
      <c r="I109" s="53">
        <f>IFERROR(VLOOKUP(E109&amp;"_"&amp;F109,plan_catalog!$A:$D,4,0)/12,0)</f>
        <v>5833.333333333333</v>
      </c>
      <c r="J109" s="38">
        <v>15000</v>
      </c>
      <c r="K109" s="38">
        <v>13000</v>
      </c>
      <c r="L109" s="62">
        <f t="shared" si="15"/>
        <v>0.8666666666666667</v>
      </c>
      <c r="M109" s="52" t="str">
        <f>IFERROR(VLOOKUP(B109,rep_roster!$A:$L,12,0),E109&amp;"_"&amp;F109)</f>
        <v>CSM_Mid-Market</v>
      </c>
      <c r="N109" s="66">
        <f>IFERROR(VLOOKUP(M109,plan_catalog!$A:$G,7,0),0)</f>
        <v>0.06</v>
      </c>
      <c r="O109" s="53">
        <f t="shared" si="16"/>
        <v>780</v>
      </c>
      <c r="P109" s="66">
        <f>IFERROR(VLOOKUP(M109,plan_catalog!$A:$I,9,0),0)</f>
        <v>1.05</v>
      </c>
      <c r="Q109" s="67">
        <f>IFERROR(VLOOKUP(M109,plan_catalog!$A:$J,10,0),1)</f>
        <v>1.2</v>
      </c>
      <c r="R109" s="66" t="str">
        <f>IFERROR(VLOOKUP(M109,plan_catalog!$A:$K,11,0),0)</f>
        <v>—</v>
      </c>
      <c r="S109" s="67" t="str">
        <f>IFERROR(VLOOKUP(M109,plan_catalog!$A:$L,12,0),1)</f>
        <v>—</v>
      </c>
      <c r="T109" s="68">
        <f t="shared" si="17"/>
        <v>1</v>
      </c>
      <c r="U109" s="69">
        <f t="shared" si="18"/>
        <v>780</v>
      </c>
      <c r="V109" s="57">
        <f t="shared" si="19"/>
        <v>6613.333333333333</v>
      </c>
    </row>
    <row r="110" spans="1:22" ht="15" customHeight="1" x14ac:dyDescent="0.35">
      <c r="A110" s="70">
        <v>106</v>
      </c>
      <c r="B110" s="22" t="s">
        <v>161</v>
      </c>
      <c r="C110" s="22">
        <v>8</v>
      </c>
      <c r="D110" s="49" t="str">
        <f>VLOOKUP(B110,rep_roster!$A:$B,2,0)</f>
        <v>Daniel Foster</v>
      </c>
      <c r="E110" s="58" t="str">
        <f>VLOOKUP(B110,rep_roster!$A:$C,3,0)</f>
        <v>CSM</v>
      </c>
      <c r="F110" s="58" t="str">
        <f>VLOOKUP(B110,rep_roster!$A:$D,4,0)</f>
        <v>Mid-Market</v>
      </c>
      <c r="G110" s="58" t="str">
        <f>INDEX({"Jan","Feb","Mar","Apr","May","Jun","Jul","Aug","Sep","Oct","Nov","Dec"},C110)</f>
        <v>Aug</v>
      </c>
      <c r="H110" s="70">
        <v>2025</v>
      </c>
      <c r="I110" s="50">
        <f>IFERROR(VLOOKUP(E110&amp;"_"&amp;F110,plan_catalog!$A:$D,4,0)/12,0)</f>
        <v>5833.333333333333</v>
      </c>
      <c r="J110" s="32">
        <v>15000</v>
      </c>
      <c r="K110" s="32">
        <v>11000</v>
      </c>
      <c r="L110" s="59">
        <f t="shared" si="15"/>
        <v>0.73333333333333328</v>
      </c>
      <c r="M110" s="49" t="str">
        <f>IFERROR(VLOOKUP(B110,rep_roster!$A:$L,12,0),E110&amp;"_"&amp;F110)</f>
        <v>CSM_Mid-Market</v>
      </c>
      <c r="N110" s="72">
        <f>IFERROR(VLOOKUP(M110,plan_catalog!$A:$G,7,0),0)</f>
        <v>0.06</v>
      </c>
      <c r="O110" s="50">
        <f t="shared" si="16"/>
        <v>660</v>
      </c>
      <c r="P110" s="72">
        <f>IFERROR(VLOOKUP(M110,plan_catalog!$A:$I,9,0),0)</f>
        <v>1.05</v>
      </c>
      <c r="Q110" s="73">
        <f>IFERROR(VLOOKUP(M110,plan_catalog!$A:$J,10,0),1)</f>
        <v>1.2</v>
      </c>
      <c r="R110" s="72" t="str">
        <f>IFERROR(VLOOKUP(M110,plan_catalog!$A:$K,11,0),0)</f>
        <v>—</v>
      </c>
      <c r="S110" s="73" t="str">
        <f>IFERROR(VLOOKUP(M110,plan_catalog!$A:$L,12,0),1)</f>
        <v>—</v>
      </c>
      <c r="T110" s="74">
        <f t="shared" si="17"/>
        <v>1</v>
      </c>
      <c r="U110" s="69">
        <f t="shared" si="18"/>
        <v>660</v>
      </c>
      <c r="V110" s="57">
        <f t="shared" si="19"/>
        <v>6493.333333333333</v>
      </c>
    </row>
    <row r="111" spans="1:22" ht="15" customHeight="1" x14ac:dyDescent="0.35">
      <c r="A111" s="64">
        <v>107</v>
      </c>
      <c r="B111" s="25" t="s">
        <v>161</v>
      </c>
      <c r="C111" s="25">
        <v>9</v>
      </c>
      <c r="D111" s="52" t="str">
        <f>VLOOKUP(B111,rep_roster!$A:$B,2,0)</f>
        <v>Daniel Foster</v>
      </c>
      <c r="E111" s="61" t="str">
        <f>VLOOKUP(B111,rep_roster!$A:$C,3,0)</f>
        <v>CSM</v>
      </c>
      <c r="F111" s="61" t="str">
        <f>VLOOKUP(B111,rep_roster!$A:$D,4,0)</f>
        <v>Mid-Market</v>
      </c>
      <c r="G111" s="61" t="str">
        <f>INDEX({"Jan","Feb","Mar","Apr","May","Jun","Jul","Aug","Sep","Oct","Nov","Dec"},C111)</f>
        <v>Sep</v>
      </c>
      <c r="H111" s="64">
        <v>2025</v>
      </c>
      <c r="I111" s="53">
        <f>IFERROR(VLOOKUP(E111&amp;"_"&amp;F111,plan_catalog!$A:$D,4,0)/12,0)</f>
        <v>5833.333333333333</v>
      </c>
      <c r="J111" s="38">
        <v>15000</v>
      </c>
      <c r="K111" s="38">
        <v>14000</v>
      </c>
      <c r="L111" s="62">
        <f t="shared" si="15"/>
        <v>0.93333333333333335</v>
      </c>
      <c r="M111" s="52" t="str">
        <f>IFERROR(VLOOKUP(B111,rep_roster!$A:$L,12,0),E111&amp;"_"&amp;F111)</f>
        <v>CSM_Mid-Market</v>
      </c>
      <c r="N111" s="66">
        <f>IFERROR(VLOOKUP(M111,plan_catalog!$A:$G,7,0),0)</f>
        <v>0.06</v>
      </c>
      <c r="O111" s="53">
        <f t="shared" si="16"/>
        <v>840</v>
      </c>
      <c r="P111" s="66">
        <f>IFERROR(VLOOKUP(M111,plan_catalog!$A:$I,9,0),0)</f>
        <v>1.05</v>
      </c>
      <c r="Q111" s="67">
        <f>IFERROR(VLOOKUP(M111,plan_catalog!$A:$J,10,0),1)</f>
        <v>1.2</v>
      </c>
      <c r="R111" s="66" t="str">
        <f>IFERROR(VLOOKUP(M111,plan_catalog!$A:$K,11,0),0)</f>
        <v>—</v>
      </c>
      <c r="S111" s="67" t="str">
        <f>IFERROR(VLOOKUP(M111,plan_catalog!$A:$L,12,0),1)</f>
        <v>—</v>
      </c>
      <c r="T111" s="68">
        <f t="shared" si="17"/>
        <v>1</v>
      </c>
      <c r="U111" s="69">
        <f t="shared" si="18"/>
        <v>840</v>
      </c>
      <c r="V111" s="57">
        <f t="shared" si="19"/>
        <v>6673.333333333333</v>
      </c>
    </row>
    <row r="112" spans="1:22" ht="15" customHeight="1" x14ac:dyDescent="0.35">
      <c r="A112" s="70">
        <v>108</v>
      </c>
      <c r="B112" s="22" t="s">
        <v>161</v>
      </c>
      <c r="C112" s="22">
        <v>10</v>
      </c>
      <c r="D112" s="49" t="str">
        <f>VLOOKUP(B112,rep_roster!$A:$B,2,0)</f>
        <v>Daniel Foster</v>
      </c>
      <c r="E112" s="58" t="str">
        <f>VLOOKUP(B112,rep_roster!$A:$C,3,0)</f>
        <v>CSM</v>
      </c>
      <c r="F112" s="58" t="str">
        <f>VLOOKUP(B112,rep_roster!$A:$D,4,0)</f>
        <v>Mid-Market</v>
      </c>
      <c r="G112" s="58" t="str">
        <f>INDEX({"Jan","Feb","Mar","Apr","May","Jun","Jul","Aug","Sep","Oct","Nov","Dec"},C112)</f>
        <v>Oct</v>
      </c>
      <c r="H112" s="70">
        <v>2025</v>
      </c>
      <c r="I112" s="50">
        <f>IFERROR(VLOOKUP(E112&amp;"_"&amp;F112,plan_catalog!$A:$D,4,0)/12,0)</f>
        <v>5833.333333333333</v>
      </c>
      <c r="J112" s="32">
        <v>15000</v>
      </c>
      <c r="K112" s="32">
        <v>10000</v>
      </c>
      <c r="L112" s="59">
        <f t="shared" si="15"/>
        <v>0.66666666666666663</v>
      </c>
      <c r="M112" s="49" t="str">
        <f>IFERROR(VLOOKUP(B112,rep_roster!$A:$L,12,0),E112&amp;"_"&amp;F112)</f>
        <v>CSM_Mid-Market</v>
      </c>
      <c r="N112" s="72">
        <f>IFERROR(VLOOKUP(M112,plan_catalog!$A:$G,7,0),0)</f>
        <v>0.06</v>
      </c>
      <c r="O112" s="50">
        <f t="shared" si="16"/>
        <v>600</v>
      </c>
      <c r="P112" s="72">
        <f>IFERROR(VLOOKUP(M112,plan_catalog!$A:$I,9,0),0)</f>
        <v>1.05</v>
      </c>
      <c r="Q112" s="73">
        <f>IFERROR(VLOOKUP(M112,plan_catalog!$A:$J,10,0),1)</f>
        <v>1.2</v>
      </c>
      <c r="R112" s="72" t="str">
        <f>IFERROR(VLOOKUP(M112,plan_catalog!$A:$K,11,0),0)</f>
        <v>—</v>
      </c>
      <c r="S112" s="73" t="str">
        <f>IFERROR(VLOOKUP(M112,plan_catalog!$A:$L,12,0),1)</f>
        <v>—</v>
      </c>
      <c r="T112" s="74">
        <f t="shared" si="17"/>
        <v>1</v>
      </c>
      <c r="U112" s="69">
        <f t="shared" si="18"/>
        <v>600</v>
      </c>
      <c r="V112" s="57">
        <f t="shared" si="19"/>
        <v>6433.333333333333</v>
      </c>
    </row>
    <row r="113" spans="1:22" ht="15" customHeight="1" x14ac:dyDescent="0.35">
      <c r="A113" s="64">
        <v>109</v>
      </c>
      <c r="B113" s="25" t="s">
        <v>161</v>
      </c>
      <c r="C113" s="25">
        <v>11</v>
      </c>
      <c r="D113" s="52" t="str">
        <f>VLOOKUP(B113,rep_roster!$A:$B,2,0)</f>
        <v>Daniel Foster</v>
      </c>
      <c r="E113" s="61" t="str">
        <f>VLOOKUP(B113,rep_roster!$A:$C,3,0)</f>
        <v>CSM</v>
      </c>
      <c r="F113" s="61" t="str">
        <f>VLOOKUP(B113,rep_roster!$A:$D,4,0)</f>
        <v>Mid-Market</v>
      </c>
      <c r="G113" s="61" t="str">
        <f>INDEX({"Jan","Feb","Mar","Apr","May","Jun","Jul","Aug","Sep","Oct","Nov","Dec"},C113)</f>
        <v>Nov</v>
      </c>
      <c r="H113" s="64">
        <v>2025</v>
      </c>
      <c r="I113" s="53">
        <f>IFERROR(VLOOKUP(E113&amp;"_"&amp;F113,plan_catalog!$A:$D,4,0)/12,0)</f>
        <v>5833.333333333333</v>
      </c>
      <c r="J113" s="38">
        <v>15000</v>
      </c>
      <c r="K113" s="38">
        <v>12000</v>
      </c>
      <c r="L113" s="62">
        <f t="shared" si="15"/>
        <v>0.8</v>
      </c>
      <c r="M113" s="52" t="str">
        <f>IFERROR(VLOOKUP(B113,rep_roster!$A:$L,12,0),E113&amp;"_"&amp;F113)</f>
        <v>CSM_Mid-Market</v>
      </c>
      <c r="N113" s="66">
        <f>IFERROR(VLOOKUP(M113,plan_catalog!$A:$G,7,0),0)</f>
        <v>0.06</v>
      </c>
      <c r="O113" s="53">
        <f t="shared" si="16"/>
        <v>720</v>
      </c>
      <c r="P113" s="66">
        <f>IFERROR(VLOOKUP(M113,plan_catalog!$A:$I,9,0),0)</f>
        <v>1.05</v>
      </c>
      <c r="Q113" s="67">
        <f>IFERROR(VLOOKUP(M113,plan_catalog!$A:$J,10,0),1)</f>
        <v>1.2</v>
      </c>
      <c r="R113" s="66" t="str">
        <f>IFERROR(VLOOKUP(M113,plan_catalog!$A:$K,11,0),0)</f>
        <v>—</v>
      </c>
      <c r="S113" s="67" t="str">
        <f>IFERROR(VLOOKUP(M113,plan_catalog!$A:$L,12,0),1)</f>
        <v>—</v>
      </c>
      <c r="T113" s="68">
        <f t="shared" si="17"/>
        <v>1</v>
      </c>
      <c r="U113" s="69">
        <f t="shared" si="18"/>
        <v>720</v>
      </c>
      <c r="V113" s="57">
        <f t="shared" si="19"/>
        <v>6553.333333333333</v>
      </c>
    </row>
    <row r="114" spans="1:22" ht="15" customHeight="1" x14ac:dyDescent="0.35">
      <c r="A114" s="70">
        <v>110</v>
      </c>
      <c r="B114" s="22" t="s">
        <v>161</v>
      </c>
      <c r="C114" s="22">
        <v>12</v>
      </c>
      <c r="D114" s="49" t="str">
        <f>VLOOKUP(B114,rep_roster!$A:$B,2,0)</f>
        <v>Daniel Foster</v>
      </c>
      <c r="E114" s="58" t="str">
        <f>VLOOKUP(B114,rep_roster!$A:$C,3,0)</f>
        <v>CSM</v>
      </c>
      <c r="F114" s="58" t="str">
        <f>VLOOKUP(B114,rep_roster!$A:$D,4,0)</f>
        <v>Mid-Market</v>
      </c>
      <c r="G114" s="58" t="str">
        <f>INDEX({"Jan","Feb","Mar","Apr","May","Jun","Jul","Aug","Sep","Oct","Nov","Dec"},C114)</f>
        <v>Dec</v>
      </c>
      <c r="H114" s="70">
        <v>2025</v>
      </c>
      <c r="I114" s="50">
        <f>IFERROR(VLOOKUP(E114&amp;"_"&amp;F114,plan_catalog!$A:$D,4,0)/12,0)</f>
        <v>5833.333333333333</v>
      </c>
      <c r="J114" s="32">
        <v>15000</v>
      </c>
      <c r="K114" s="32">
        <v>15000</v>
      </c>
      <c r="L114" s="59">
        <f t="shared" si="15"/>
        <v>1</v>
      </c>
      <c r="M114" s="49" t="str">
        <f>IFERROR(VLOOKUP(B114,rep_roster!$A:$L,12,0),E114&amp;"_"&amp;F114)</f>
        <v>CSM_Mid-Market</v>
      </c>
      <c r="N114" s="72">
        <f>IFERROR(VLOOKUP(M114,plan_catalog!$A:$G,7,0),0)</f>
        <v>0.06</v>
      </c>
      <c r="O114" s="50">
        <f t="shared" si="16"/>
        <v>900</v>
      </c>
      <c r="P114" s="72">
        <f>IFERROR(VLOOKUP(M114,plan_catalog!$A:$I,9,0),0)</f>
        <v>1.05</v>
      </c>
      <c r="Q114" s="73">
        <f>IFERROR(VLOOKUP(M114,plan_catalog!$A:$J,10,0),1)</f>
        <v>1.2</v>
      </c>
      <c r="R114" s="72" t="str">
        <f>IFERROR(VLOOKUP(M114,plan_catalog!$A:$K,11,0),0)</f>
        <v>—</v>
      </c>
      <c r="S114" s="73" t="str">
        <f>IFERROR(VLOOKUP(M114,plan_catalog!$A:$L,12,0),1)</f>
        <v>—</v>
      </c>
      <c r="T114" s="74">
        <f t="shared" si="17"/>
        <v>1</v>
      </c>
      <c r="U114" s="69">
        <f t="shared" si="18"/>
        <v>900</v>
      </c>
      <c r="V114" s="57">
        <f t="shared" si="19"/>
        <v>6733.333333333333</v>
      </c>
    </row>
    <row r="115" spans="1:22" ht="15" customHeight="1" x14ac:dyDescent="0.35">
      <c r="A115" s="64">
        <v>111</v>
      </c>
      <c r="B115" s="25" t="s">
        <v>163</v>
      </c>
      <c r="C115" s="25">
        <v>1</v>
      </c>
      <c r="D115" s="52" t="str">
        <f>VLOOKUP(B115,rep_roster!$A:$B,2,0)</f>
        <v>Rachel Green</v>
      </c>
      <c r="E115" s="61" t="str">
        <f>VLOOKUP(B115,rep_roster!$A:$C,3,0)</f>
        <v>CSM</v>
      </c>
      <c r="F115" s="61" t="str">
        <f>VLOOKUP(B115,rep_roster!$A:$D,4,0)</f>
        <v>Mid-Market</v>
      </c>
      <c r="G115" s="61" t="str">
        <f>INDEX({"Jan","Feb","Mar","Apr","May","Jun","Jul","Aug","Sep","Oct","Nov","Dec"},C115)</f>
        <v>Jan</v>
      </c>
      <c r="H115" s="64">
        <v>2025</v>
      </c>
      <c r="I115" s="53">
        <f>IFERROR(VLOOKUP(E115&amp;"_"&amp;F115,plan_catalog!$A:$D,4,0)/12,0)</f>
        <v>5833.333333333333</v>
      </c>
      <c r="J115" s="38">
        <v>15000</v>
      </c>
      <c r="K115" s="38">
        <v>22000</v>
      </c>
      <c r="L115" s="62">
        <f t="shared" si="15"/>
        <v>1.4666666666666666</v>
      </c>
      <c r="M115" s="52" t="str">
        <f>IFERROR(VLOOKUP(B115,rep_roster!$A:$L,12,0),E115&amp;"_"&amp;F115)</f>
        <v>CSM_Mid-Market</v>
      </c>
      <c r="N115" s="66">
        <f>IFERROR(VLOOKUP(M115,plan_catalog!$A:$G,7,0),0)</f>
        <v>0.06</v>
      </c>
      <c r="O115" s="53">
        <f t="shared" si="16"/>
        <v>1320</v>
      </c>
      <c r="P115" s="66">
        <f>IFERROR(VLOOKUP(M115,plan_catalog!$A:$I,9,0),0)</f>
        <v>1.05</v>
      </c>
      <c r="Q115" s="67">
        <f>IFERROR(VLOOKUP(M115,plan_catalog!$A:$J,10,0),1)</f>
        <v>1.2</v>
      </c>
      <c r="R115" s="66" t="str">
        <f>IFERROR(VLOOKUP(M115,plan_catalog!$A:$K,11,0),0)</f>
        <v>—</v>
      </c>
      <c r="S115" s="67" t="str">
        <f>IFERROR(VLOOKUP(M115,plan_catalog!$A:$L,12,0),1)</f>
        <v>—</v>
      </c>
      <c r="T115" s="68">
        <f t="shared" si="17"/>
        <v>1.2</v>
      </c>
      <c r="U115" s="69">
        <f t="shared" si="18"/>
        <v>1584</v>
      </c>
      <c r="V115" s="57">
        <f t="shared" si="19"/>
        <v>7417.333333333333</v>
      </c>
    </row>
    <row r="116" spans="1:22" ht="15" customHeight="1" x14ac:dyDescent="0.35">
      <c r="A116" s="70">
        <v>112</v>
      </c>
      <c r="B116" s="22" t="s">
        <v>163</v>
      </c>
      <c r="C116" s="22">
        <v>2</v>
      </c>
      <c r="D116" s="49" t="str">
        <f>VLOOKUP(B116,rep_roster!$A:$B,2,0)</f>
        <v>Rachel Green</v>
      </c>
      <c r="E116" s="58" t="str">
        <f>VLOOKUP(B116,rep_roster!$A:$C,3,0)</f>
        <v>CSM</v>
      </c>
      <c r="F116" s="58" t="str">
        <f>VLOOKUP(B116,rep_roster!$A:$D,4,0)</f>
        <v>Mid-Market</v>
      </c>
      <c r="G116" s="58" t="str">
        <f>INDEX({"Jan","Feb","Mar","Apr","May","Jun","Jul","Aug","Sep","Oct","Nov","Dec"},C116)</f>
        <v>Feb</v>
      </c>
      <c r="H116" s="70">
        <v>2025</v>
      </c>
      <c r="I116" s="50">
        <f>IFERROR(VLOOKUP(E116&amp;"_"&amp;F116,plan_catalog!$A:$D,4,0)/12,0)</f>
        <v>5833.333333333333</v>
      </c>
      <c r="J116" s="32">
        <v>15000</v>
      </c>
      <c r="K116" s="32">
        <v>20000</v>
      </c>
      <c r="L116" s="59">
        <f t="shared" si="15"/>
        <v>1.3333333333333333</v>
      </c>
      <c r="M116" s="49" t="str">
        <f>IFERROR(VLOOKUP(B116,rep_roster!$A:$L,12,0),E116&amp;"_"&amp;F116)</f>
        <v>CSM_Mid-Market</v>
      </c>
      <c r="N116" s="72">
        <f>IFERROR(VLOOKUP(M116,plan_catalog!$A:$G,7,0),0)</f>
        <v>0.06</v>
      </c>
      <c r="O116" s="50">
        <f t="shared" si="16"/>
        <v>1200</v>
      </c>
      <c r="P116" s="72">
        <f>IFERROR(VLOOKUP(M116,plan_catalog!$A:$I,9,0),0)</f>
        <v>1.05</v>
      </c>
      <c r="Q116" s="73">
        <f>IFERROR(VLOOKUP(M116,plan_catalog!$A:$J,10,0),1)</f>
        <v>1.2</v>
      </c>
      <c r="R116" s="72" t="str">
        <f>IFERROR(VLOOKUP(M116,plan_catalog!$A:$K,11,0),0)</f>
        <v>—</v>
      </c>
      <c r="S116" s="73" t="str">
        <f>IFERROR(VLOOKUP(M116,plan_catalog!$A:$L,12,0),1)</f>
        <v>—</v>
      </c>
      <c r="T116" s="74">
        <f t="shared" si="17"/>
        <v>1.2</v>
      </c>
      <c r="U116" s="69">
        <f t="shared" si="18"/>
        <v>1440</v>
      </c>
      <c r="V116" s="57">
        <f t="shared" si="19"/>
        <v>7273.333333333333</v>
      </c>
    </row>
    <row r="117" spans="1:22" ht="15" customHeight="1" x14ac:dyDescent="0.35">
      <c r="A117" s="64">
        <v>113</v>
      </c>
      <c r="B117" s="25" t="s">
        <v>163</v>
      </c>
      <c r="C117" s="25">
        <v>3</v>
      </c>
      <c r="D117" s="52" t="str">
        <f>VLOOKUP(B117,rep_roster!$A:$B,2,0)</f>
        <v>Rachel Green</v>
      </c>
      <c r="E117" s="61" t="str">
        <f>VLOOKUP(B117,rep_roster!$A:$C,3,0)</f>
        <v>CSM</v>
      </c>
      <c r="F117" s="61" t="str">
        <f>VLOOKUP(B117,rep_roster!$A:$D,4,0)</f>
        <v>Mid-Market</v>
      </c>
      <c r="G117" s="61" t="str">
        <f>INDEX({"Jan","Feb","Mar","Apr","May","Jun","Jul","Aug","Sep","Oct","Nov","Dec"},C117)</f>
        <v>Mar</v>
      </c>
      <c r="H117" s="64">
        <v>2025</v>
      </c>
      <c r="I117" s="53">
        <f>IFERROR(VLOOKUP(E117&amp;"_"&amp;F117,plan_catalog!$A:$D,4,0)/12,0)</f>
        <v>5833.333333333333</v>
      </c>
      <c r="J117" s="38">
        <v>15000</v>
      </c>
      <c r="K117" s="38">
        <v>24000</v>
      </c>
      <c r="L117" s="62">
        <f t="shared" si="15"/>
        <v>1.6</v>
      </c>
      <c r="M117" s="52" t="str">
        <f>IFERROR(VLOOKUP(B117,rep_roster!$A:$L,12,0),E117&amp;"_"&amp;F117)</f>
        <v>CSM_Mid-Market</v>
      </c>
      <c r="N117" s="66">
        <f>IFERROR(VLOOKUP(M117,plan_catalog!$A:$G,7,0),0)</f>
        <v>0.06</v>
      </c>
      <c r="O117" s="53">
        <f t="shared" si="16"/>
        <v>1440</v>
      </c>
      <c r="P117" s="66">
        <f>IFERROR(VLOOKUP(M117,plan_catalog!$A:$I,9,0),0)</f>
        <v>1.05</v>
      </c>
      <c r="Q117" s="67">
        <f>IFERROR(VLOOKUP(M117,plan_catalog!$A:$J,10,0),1)</f>
        <v>1.2</v>
      </c>
      <c r="R117" s="66" t="str">
        <f>IFERROR(VLOOKUP(M117,plan_catalog!$A:$K,11,0),0)</f>
        <v>—</v>
      </c>
      <c r="S117" s="67" t="str">
        <f>IFERROR(VLOOKUP(M117,plan_catalog!$A:$L,12,0),1)</f>
        <v>—</v>
      </c>
      <c r="T117" s="68">
        <f t="shared" si="17"/>
        <v>1.2</v>
      </c>
      <c r="U117" s="69">
        <f t="shared" si="18"/>
        <v>1728</v>
      </c>
      <c r="V117" s="57">
        <f t="shared" si="19"/>
        <v>7561.333333333333</v>
      </c>
    </row>
    <row r="118" spans="1:22" ht="15" customHeight="1" x14ac:dyDescent="0.35">
      <c r="A118" s="70">
        <v>114</v>
      </c>
      <c r="B118" s="22" t="s">
        <v>163</v>
      </c>
      <c r="C118" s="22">
        <v>4</v>
      </c>
      <c r="D118" s="49" t="str">
        <f>VLOOKUP(B118,rep_roster!$A:$B,2,0)</f>
        <v>Rachel Green</v>
      </c>
      <c r="E118" s="58" t="str">
        <f>VLOOKUP(B118,rep_roster!$A:$C,3,0)</f>
        <v>CSM</v>
      </c>
      <c r="F118" s="58" t="str">
        <f>VLOOKUP(B118,rep_roster!$A:$D,4,0)</f>
        <v>Mid-Market</v>
      </c>
      <c r="G118" s="58" t="str">
        <f>INDEX({"Jan","Feb","Mar","Apr","May","Jun","Jul","Aug","Sep","Oct","Nov","Dec"},C118)</f>
        <v>Apr</v>
      </c>
      <c r="H118" s="70">
        <v>2025</v>
      </c>
      <c r="I118" s="50">
        <f>IFERROR(VLOOKUP(E118&amp;"_"&amp;F118,plan_catalog!$A:$D,4,0)/12,0)</f>
        <v>5833.333333333333</v>
      </c>
      <c r="J118" s="32">
        <v>15000</v>
      </c>
      <c r="K118" s="32">
        <v>18000</v>
      </c>
      <c r="L118" s="59">
        <f t="shared" si="15"/>
        <v>1.2</v>
      </c>
      <c r="M118" s="49" t="str">
        <f>IFERROR(VLOOKUP(B118,rep_roster!$A:$L,12,0),E118&amp;"_"&amp;F118)</f>
        <v>CSM_Mid-Market</v>
      </c>
      <c r="N118" s="72">
        <f>IFERROR(VLOOKUP(M118,plan_catalog!$A:$G,7,0),0)</f>
        <v>0.06</v>
      </c>
      <c r="O118" s="50">
        <f t="shared" si="16"/>
        <v>1080</v>
      </c>
      <c r="P118" s="72">
        <f>IFERROR(VLOOKUP(M118,plan_catalog!$A:$I,9,0),0)</f>
        <v>1.05</v>
      </c>
      <c r="Q118" s="73">
        <f>IFERROR(VLOOKUP(M118,plan_catalog!$A:$J,10,0),1)</f>
        <v>1.2</v>
      </c>
      <c r="R118" s="72" t="str">
        <f>IFERROR(VLOOKUP(M118,plan_catalog!$A:$K,11,0),0)</f>
        <v>—</v>
      </c>
      <c r="S118" s="73" t="str">
        <f>IFERROR(VLOOKUP(M118,plan_catalog!$A:$L,12,0),1)</f>
        <v>—</v>
      </c>
      <c r="T118" s="74">
        <f t="shared" si="17"/>
        <v>1.2</v>
      </c>
      <c r="U118" s="69">
        <f t="shared" si="18"/>
        <v>1296</v>
      </c>
      <c r="V118" s="57">
        <f t="shared" si="19"/>
        <v>7129.333333333333</v>
      </c>
    </row>
    <row r="119" spans="1:22" ht="15" customHeight="1" x14ac:dyDescent="0.35">
      <c r="A119" s="64">
        <v>115</v>
      </c>
      <c r="B119" s="25" t="s">
        <v>163</v>
      </c>
      <c r="C119" s="25">
        <v>5</v>
      </c>
      <c r="D119" s="52" t="str">
        <f>VLOOKUP(B119,rep_roster!$A:$B,2,0)</f>
        <v>Rachel Green</v>
      </c>
      <c r="E119" s="61" t="str">
        <f>VLOOKUP(B119,rep_roster!$A:$C,3,0)</f>
        <v>CSM</v>
      </c>
      <c r="F119" s="61" t="str">
        <f>VLOOKUP(B119,rep_roster!$A:$D,4,0)</f>
        <v>Mid-Market</v>
      </c>
      <c r="G119" s="61" t="str">
        <f>INDEX({"Jan","Feb","Mar","Apr","May","Jun","Jul","Aug","Sep","Oct","Nov","Dec"},C119)</f>
        <v>May</v>
      </c>
      <c r="H119" s="64">
        <v>2025</v>
      </c>
      <c r="I119" s="53">
        <f>IFERROR(VLOOKUP(E119&amp;"_"&amp;F119,plan_catalog!$A:$D,4,0)/12,0)</f>
        <v>5833.333333333333</v>
      </c>
      <c r="J119" s="38">
        <v>15000</v>
      </c>
      <c r="K119" s="38">
        <v>19000</v>
      </c>
      <c r="L119" s="62">
        <f t="shared" si="15"/>
        <v>1.2666666666666666</v>
      </c>
      <c r="M119" s="52" t="str">
        <f>IFERROR(VLOOKUP(B119,rep_roster!$A:$L,12,0),E119&amp;"_"&amp;F119)</f>
        <v>CSM_Mid-Market</v>
      </c>
      <c r="N119" s="66">
        <f>IFERROR(VLOOKUP(M119,plan_catalog!$A:$G,7,0),0)</f>
        <v>0.06</v>
      </c>
      <c r="O119" s="53">
        <f t="shared" si="16"/>
        <v>1140</v>
      </c>
      <c r="P119" s="66">
        <f>IFERROR(VLOOKUP(M119,plan_catalog!$A:$I,9,0),0)</f>
        <v>1.05</v>
      </c>
      <c r="Q119" s="67">
        <f>IFERROR(VLOOKUP(M119,plan_catalog!$A:$J,10,0),1)</f>
        <v>1.2</v>
      </c>
      <c r="R119" s="66" t="str">
        <f>IFERROR(VLOOKUP(M119,plan_catalog!$A:$K,11,0),0)</f>
        <v>—</v>
      </c>
      <c r="S119" s="67" t="str">
        <f>IFERROR(VLOOKUP(M119,plan_catalog!$A:$L,12,0),1)</f>
        <v>—</v>
      </c>
      <c r="T119" s="68">
        <f t="shared" si="17"/>
        <v>1.2</v>
      </c>
      <c r="U119" s="69">
        <f t="shared" si="18"/>
        <v>1368</v>
      </c>
      <c r="V119" s="57">
        <f t="shared" si="19"/>
        <v>7201.333333333333</v>
      </c>
    </row>
    <row r="120" spans="1:22" ht="15" customHeight="1" x14ac:dyDescent="0.35">
      <c r="A120" s="70">
        <v>116</v>
      </c>
      <c r="B120" s="22" t="s">
        <v>163</v>
      </c>
      <c r="C120" s="22">
        <v>6</v>
      </c>
      <c r="D120" s="49" t="str">
        <f>VLOOKUP(B120,rep_roster!$A:$B,2,0)</f>
        <v>Rachel Green</v>
      </c>
      <c r="E120" s="58" t="str">
        <f>VLOOKUP(B120,rep_roster!$A:$C,3,0)</f>
        <v>CSM</v>
      </c>
      <c r="F120" s="58" t="str">
        <f>VLOOKUP(B120,rep_roster!$A:$D,4,0)</f>
        <v>Mid-Market</v>
      </c>
      <c r="G120" s="58" t="str">
        <f>INDEX({"Jan","Feb","Mar","Apr","May","Jun","Jul","Aug","Sep","Oct","Nov","Dec"},C120)</f>
        <v>Jun</v>
      </c>
      <c r="H120" s="70">
        <v>2025</v>
      </c>
      <c r="I120" s="50">
        <f>IFERROR(VLOOKUP(E120&amp;"_"&amp;F120,plan_catalog!$A:$D,4,0)/12,0)</f>
        <v>5833.333333333333</v>
      </c>
      <c r="J120" s="32">
        <v>15000</v>
      </c>
      <c r="K120" s="32">
        <v>17000</v>
      </c>
      <c r="L120" s="59">
        <f t="shared" si="15"/>
        <v>1.1333333333333333</v>
      </c>
      <c r="M120" s="49" t="str">
        <f>IFERROR(VLOOKUP(B120,rep_roster!$A:$L,12,0),E120&amp;"_"&amp;F120)</f>
        <v>CSM_Mid-Market</v>
      </c>
      <c r="N120" s="72">
        <f>IFERROR(VLOOKUP(M120,plan_catalog!$A:$G,7,0),0)</f>
        <v>0.06</v>
      </c>
      <c r="O120" s="50">
        <f t="shared" si="16"/>
        <v>1020</v>
      </c>
      <c r="P120" s="72">
        <f>IFERROR(VLOOKUP(M120,plan_catalog!$A:$I,9,0),0)</f>
        <v>1.05</v>
      </c>
      <c r="Q120" s="73">
        <f>IFERROR(VLOOKUP(M120,plan_catalog!$A:$J,10,0),1)</f>
        <v>1.2</v>
      </c>
      <c r="R120" s="72" t="str">
        <f>IFERROR(VLOOKUP(M120,plan_catalog!$A:$K,11,0),0)</f>
        <v>—</v>
      </c>
      <c r="S120" s="73" t="str">
        <f>IFERROR(VLOOKUP(M120,plan_catalog!$A:$L,12,0),1)</f>
        <v>—</v>
      </c>
      <c r="T120" s="74">
        <f t="shared" si="17"/>
        <v>1.2</v>
      </c>
      <c r="U120" s="69">
        <f t="shared" si="18"/>
        <v>1224</v>
      </c>
      <c r="V120" s="57">
        <f t="shared" si="19"/>
        <v>7057.333333333333</v>
      </c>
    </row>
    <row r="121" spans="1:22" ht="15" customHeight="1" x14ac:dyDescent="0.35">
      <c r="A121" s="64">
        <v>117</v>
      </c>
      <c r="B121" s="25" t="s">
        <v>163</v>
      </c>
      <c r="C121" s="25">
        <v>7</v>
      </c>
      <c r="D121" s="52" t="str">
        <f>VLOOKUP(B121,rep_roster!$A:$B,2,0)</f>
        <v>Rachel Green</v>
      </c>
      <c r="E121" s="61" t="str">
        <f>VLOOKUP(B121,rep_roster!$A:$C,3,0)</f>
        <v>CSM</v>
      </c>
      <c r="F121" s="61" t="str">
        <f>VLOOKUP(B121,rep_roster!$A:$D,4,0)</f>
        <v>Mid-Market</v>
      </c>
      <c r="G121" s="61" t="str">
        <f>INDEX({"Jan","Feb","Mar","Apr","May","Jun","Jul","Aug","Sep","Oct","Nov","Dec"},C121)</f>
        <v>Jul</v>
      </c>
      <c r="H121" s="64">
        <v>2025</v>
      </c>
      <c r="I121" s="53">
        <f>IFERROR(VLOOKUP(E121&amp;"_"&amp;F121,plan_catalog!$A:$D,4,0)/12,0)</f>
        <v>5833.333333333333</v>
      </c>
      <c r="J121" s="38">
        <v>15000</v>
      </c>
      <c r="K121" s="38">
        <v>14000</v>
      </c>
      <c r="L121" s="62">
        <f t="shared" si="15"/>
        <v>0.93333333333333335</v>
      </c>
      <c r="M121" s="52" t="str">
        <f>IFERROR(VLOOKUP(B121,rep_roster!$A:$L,12,0),E121&amp;"_"&amp;F121)</f>
        <v>CSM_Mid-Market</v>
      </c>
      <c r="N121" s="66">
        <f>IFERROR(VLOOKUP(M121,plan_catalog!$A:$G,7,0),0)</f>
        <v>0.06</v>
      </c>
      <c r="O121" s="53">
        <f t="shared" si="16"/>
        <v>840</v>
      </c>
      <c r="P121" s="66">
        <f>IFERROR(VLOOKUP(M121,plan_catalog!$A:$I,9,0),0)</f>
        <v>1.05</v>
      </c>
      <c r="Q121" s="67">
        <f>IFERROR(VLOOKUP(M121,plan_catalog!$A:$J,10,0),1)</f>
        <v>1.2</v>
      </c>
      <c r="R121" s="66" t="str">
        <f>IFERROR(VLOOKUP(M121,plan_catalog!$A:$K,11,0),0)</f>
        <v>—</v>
      </c>
      <c r="S121" s="67" t="str">
        <f>IFERROR(VLOOKUP(M121,plan_catalog!$A:$L,12,0),1)</f>
        <v>—</v>
      </c>
      <c r="T121" s="68">
        <f t="shared" si="17"/>
        <v>1</v>
      </c>
      <c r="U121" s="69">
        <f t="shared" si="18"/>
        <v>840</v>
      </c>
      <c r="V121" s="57">
        <f t="shared" si="19"/>
        <v>6673.333333333333</v>
      </c>
    </row>
    <row r="122" spans="1:22" ht="15" customHeight="1" x14ac:dyDescent="0.35">
      <c r="A122" s="70">
        <v>118</v>
      </c>
      <c r="B122" s="22" t="s">
        <v>163</v>
      </c>
      <c r="C122" s="22">
        <v>8</v>
      </c>
      <c r="D122" s="49" t="str">
        <f>VLOOKUP(B122,rep_roster!$A:$B,2,0)</f>
        <v>Rachel Green</v>
      </c>
      <c r="E122" s="58" t="str">
        <f>VLOOKUP(B122,rep_roster!$A:$C,3,0)</f>
        <v>CSM</v>
      </c>
      <c r="F122" s="58" t="str">
        <f>VLOOKUP(B122,rep_roster!$A:$D,4,0)</f>
        <v>Mid-Market</v>
      </c>
      <c r="G122" s="58" t="str">
        <f>INDEX({"Jan","Feb","Mar","Apr","May","Jun","Jul","Aug","Sep","Oct","Nov","Dec"},C122)</f>
        <v>Aug</v>
      </c>
      <c r="H122" s="70">
        <v>2025</v>
      </c>
      <c r="I122" s="50">
        <f>IFERROR(VLOOKUP(E122&amp;"_"&amp;F122,plan_catalog!$A:$D,4,0)/12,0)</f>
        <v>5833.333333333333</v>
      </c>
      <c r="J122" s="32">
        <v>15000</v>
      </c>
      <c r="K122" s="32">
        <v>13000</v>
      </c>
      <c r="L122" s="59">
        <f t="shared" si="15"/>
        <v>0.8666666666666667</v>
      </c>
      <c r="M122" s="49" t="str">
        <f>IFERROR(VLOOKUP(B122,rep_roster!$A:$L,12,0),E122&amp;"_"&amp;F122)</f>
        <v>CSM_Mid-Market</v>
      </c>
      <c r="N122" s="72">
        <f>IFERROR(VLOOKUP(M122,plan_catalog!$A:$G,7,0),0)</f>
        <v>0.06</v>
      </c>
      <c r="O122" s="50">
        <f t="shared" si="16"/>
        <v>780</v>
      </c>
      <c r="P122" s="72">
        <f>IFERROR(VLOOKUP(M122,plan_catalog!$A:$I,9,0),0)</f>
        <v>1.05</v>
      </c>
      <c r="Q122" s="73">
        <f>IFERROR(VLOOKUP(M122,plan_catalog!$A:$J,10,0),1)</f>
        <v>1.2</v>
      </c>
      <c r="R122" s="72" t="str">
        <f>IFERROR(VLOOKUP(M122,plan_catalog!$A:$K,11,0),0)</f>
        <v>—</v>
      </c>
      <c r="S122" s="73" t="str">
        <f>IFERROR(VLOOKUP(M122,plan_catalog!$A:$L,12,0),1)</f>
        <v>—</v>
      </c>
      <c r="T122" s="74">
        <f t="shared" si="17"/>
        <v>1</v>
      </c>
      <c r="U122" s="69">
        <f t="shared" si="18"/>
        <v>780</v>
      </c>
      <c r="V122" s="57">
        <f t="shared" si="19"/>
        <v>6613.333333333333</v>
      </c>
    </row>
    <row r="123" spans="1:22" ht="15" customHeight="1" x14ac:dyDescent="0.35">
      <c r="A123" s="64">
        <v>119</v>
      </c>
      <c r="B123" s="25" t="s">
        <v>163</v>
      </c>
      <c r="C123" s="25">
        <v>9</v>
      </c>
      <c r="D123" s="52" t="str">
        <f>VLOOKUP(B123,rep_roster!$A:$B,2,0)</f>
        <v>Rachel Green</v>
      </c>
      <c r="E123" s="61" t="str">
        <f>VLOOKUP(B123,rep_roster!$A:$C,3,0)</f>
        <v>CSM</v>
      </c>
      <c r="F123" s="61" t="str">
        <f>VLOOKUP(B123,rep_roster!$A:$D,4,0)</f>
        <v>Mid-Market</v>
      </c>
      <c r="G123" s="61" t="str">
        <f>INDEX({"Jan","Feb","Mar","Apr","May","Jun","Jul","Aug","Sep","Oct","Nov","Dec"},C123)</f>
        <v>Sep</v>
      </c>
      <c r="H123" s="64">
        <v>2025</v>
      </c>
      <c r="I123" s="53">
        <f>IFERROR(VLOOKUP(E123&amp;"_"&amp;F123,plan_catalog!$A:$D,4,0)/12,0)</f>
        <v>5833.333333333333</v>
      </c>
      <c r="J123" s="38">
        <v>15000</v>
      </c>
      <c r="K123" s="38">
        <v>15000</v>
      </c>
      <c r="L123" s="62">
        <f t="shared" si="15"/>
        <v>1</v>
      </c>
      <c r="M123" s="52" t="str">
        <f>IFERROR(VLOOKUP(B123,rep_roster!$A:$L,12,0),E123&amp;"_"&amp;F123)</f>
        <v>CSM_Mid-Market</v>
      </c>
      <c r="N123" s="66">
        <f>IFERROR(VLOOKUP(M123,plan_catalog!$A:$G,7,0),0)</f>
        <v>0.06</v>
      </c>
      <c r="O123" s="53">
        <f t="shared" si="16"/>
        <v>900</v>
      </c>
      <c r="P123" s="66">
        <f>IFERROR(VLOOKUP(M123,plan_catalog!$A:$I,9,0),0)</f>
        <v>1.05</v>
      </c>
      <c r="Q123" s="67">
        <f>IFERROR(VLOOKUP(M123,plan_catalog!$A:$J,10,0),1)</f>
        <v>1.2</v>
      </c>
      <c r="R123" s="66" t="str">
        <f>IFERROR(VLOOKUP(M123,plan_catalog!$A:$K,11,0),0)</f>
        <v>—</v>
      </c>
      <c r="S123" s="67" t="str">
        <f>IFERROR(VLOOKUP(M123,plan_catalog!$A:$L,12,0),1)</f>
        <v>—</v>
      </c>
      <c r="T123" s="68">
        <f t="shared" si="17"/>
        <v>1</v>
      </c>
      <c r="U123" s="69">
        <f t="shared" si="18"/>
        <v>900</v>
      </c>
      <c r="V123" s="57">
        <f t="shared" si="19"/>
        <v>6733.333333333333</v>
      </c>
    </row>
    <row r="124" spans="1:22" ht="15" customHeight="1" x14ac:dyDescent="0.35">
      <c r="A124" s="70">
        <v>120</v>
      </c>
      <c r="B124" s="22" t="s">
        <v>163</v>
      </c>
      <c r="C124" s="22">
        <v>10</v>
      </c>
      <c r="D124" s="49" t="str">
        <f>VLOOKUP(B124,rep_roster!$A:$B,2,0)</f>
        <v>Rachel Green</v>
      </c>
      <c r="E124" s="58" t="str">
        <f>VLOOKUP(B124,rep_roster!$A:$C,3,0)</f>
        <v>CSM</v>
      </c>
      <c r="F124" s="58" t="str">
        <f>VLOOKUP(B124,rep_roster!$A:$D,4,0)</f>
        <v>Mid-Market</v>
      </c>
      <c r="G124" s="58" t="str">
        <f>INDEX({"Jan","Feb","Mar","Apr","May","Jun","Jul","Aug","Sep","Oct","Nov","Dec"},C124)</f>
        <v>Oct</v>
      </c>
      <c r="H124" s="70">
        <v>2025</v>
      </c>
      <c r="I124" s="50">
        <f>IFERROR(VLOOKUP(E124&amp;"_"&amp;F124,plan_catalog!$A:$D,4,0)/12,0)</f>
        <v>5833.333333333333</v>
      </c>
      <c r="J124" s="32">
        <v>15000</v>
      </c>
      <c r="K124" s="32">
        <v>12000</v>
      </c>
      <c r="L124" s="59">
        <f t="shared" si="15"/>
        <v>0.8</v>
      </c>
      <c r="M124" s="49" t="str">
        <f>IFERROR(VLOOKUP(B124,rep_roster!$A:$L,12,0),E124&amp;"_"&amp;F124)</f>
        <v>CSM_Mid-Market</v>
      </c>
      <c r="N124" s="72">
        <f>IFERROR(VLOOKUP(M124,plan_catalog!$A:$G,7,0),0)</f>
        <v>0.06</v>
      </c>
      <c r="O124" s="50">
        <f t="shared" si="16"/>
        <v>720</v>
      </c>
      <c r="P124" s="72">
        <f>IFERROR(VLOOKUP(M124,plan_catalog!$A:$I,9,0),0)</f>
        <v>1.05</v>
      </c>
      <c r="Q124" s="73">
        <f>IFERROR(VLOOKUP(M124,plan_catalog!$A:$J,10,0),1)</f>
        <v>1.2</v>
      </c>
      <c r="R124" s="72" t="str">
        <f>IFERROR(VLOOKUP(M124,plan_catalog!$A:$K,11,0),0)</f>
        <v>—</v>
      </c>
      <c r="S124" s="73" t="str">
        <f>IFERROR(VLOOKUP(M124,plan_catalog!$A:$L,12,0),1)</f>
        <v>—</v>
      </c>
      <c r="T124" s="74">
        <f t="shared" si="17"/>
        <v>1</v>
      </c>
      <c r="U124" s="69">
        <f t="shared" si="18"/>
        <v>720</v>
      </c>
      <c r="V124" s="57">
        <f t="shared" si="19"/>
        <v>6553.333333333333</v>
      </c>
    </row>
    <row r="125" spans="1:22" ht="15" customHeight="1" x14ac:dyDescent="0.35">
      <c r="A125" s="64">
        <v>121</v>
      </c>
      <c r="B125" s="25" t="s">
        <v>163</v>
      </c>
      <c r="C125" s="25">
        <v>11</v>
      </c>
      <c r="D125" s="52" t="str">
        <f>VLOOKUP(B125,rep_roster!$A:$B,2,0)</f>
        <v>Rachel Green</v>
      </c>
      <c r="E125" s="61" t="str">
        <f>VLOOKUP(B125,rep_roster!$A:$C,3,0)</f>
        <v>CSM</v>
      </c>
      <c r="F125" s="61" t="str">
        <f>VLOOKUP(B125,rep_roster!$A:$D,4,0)</f>
        <v>Mid-Market</v>
      </c>
      <c r="G125" s="61" t="str">
        <f>INDEX({"Jan","Feb","Mar","Apr","May","Jun","Jul","Aug","Sep","Oct","Nov","Dec"},C125)</f>
        <v>Nov</v>
      </c>
      <c r="H125" s="64">
        <v>2025</v>
      </c>
      <c r="I125" s="53">
        <f>IFERROR(VLOOKUP(E125&amp;"_"&amp;F125,plan_catalog!$A:$D,4,0)/12,0)</f>
        <v>5833.333333333333</v>
      </c>
      <c r="J125" s="38">
        <v>15000</v>
      </c>
      <c r="K125" s="38">
        <v>14000</v>
      </c>
      <c r="L125" s="62">
        <f t="shared" si="15"/>
        <v>0.93333333333333335</v>
      </c>
      <c r="M125" s="52" t="str">
        <f>IFERROR(VLOOKUP(B125,rep_roster!$A:$L,12,0),E125&amp;"_"&amp;F125)</f>
        <v>CSM_Mid-Market</v>
      </c>
      <c r="N125" s="66">
        <f>IFERROR(VLOOKUP(M125,plan_catalog!$A:$G,7,0),0)</f>
        <v>0.06</v>
      </c>
      <c r="O125" s="53">
        <f t="shared" si="16"/>
        <v>840</v>
      </c>
      <c r="P125" s="66">
        <f>IFERROR(VLOOKUP(M125,plan_catalog!$A:$I,9,0),0)</f>
        <v>1.05</v>
      </c>
      <c r="Q125" s="67">
        <f>IFERROR(VLOOKUP(M125,plan_catalog!$A:$J,10,0),1)</f>
        <v>1.2</v>
      </c>
      <c r="R125" s="66" t="str">
        <f>IFERROR(VLOOKUP(M125,plan_catalog!$A:$K,11,0),0)</f>
        <v>—</v>
      </c>
      <c r="S125" s="67" t="str">
        <f>IFERROR(VLOOKUP(M125,plan_catalog!$A:$L,12,0),1)</f>
        <v>—</v>
      </c>
      <c r="T125" s="68">
        <f t="shared" si="17"/>
        <v>1</v>
      </c>
      <c r="U125" s="69">
        <f t="shared" si="18"/>
        <v>840</v>
      </c>
      <c r="V125" s="57">
        <f t="shared" si="19"/>
        <v>6673.333333333333</v>
      </c>
    </row>
    <row r="126" spans="1:22" ht="15" customHeight="1" x14ac:dyDescent="0.35">
      <c r="A126" s="70">
        <v>122</v>
      </c>
      <c r="B126" s="22" t="s">
        <v>163</v>
      </c>
      <c r="C126" s="22">
        <v>12</v>
      </c>
      <c r="D126" s="49" t="str">
        <f>VLOOKUP(B126,rep_roster!$A:$B,2,0)</f>
        <v>Rachel Green</v>
      </c>
      <c r="E126" s="58" t="str">
        <f>VLOOKUP(B126,rep_roster!$A:$C,3,0)</f>
        <v>CSM</v>
      </c>
      <c r="F126" s="58" t="str">
        <f>VLOOKUP(B126,rep_roster!$A:$D,4,0)</f>
        <v>Mid-Market</v>
      </c>
      <c r="G126" s="58" t="str">
        <f>INDEX({"Jan","Feb","Mar","Apr","May","Jun","Jul","Aug","Sep","Oct","Nov","Dec"},C126)</f>
        <v>Dec</v>
      </c>
      <c r="H126" s="70">
        <v>2025</v>
      </c>
      <c r="I126" s="50">
        <f>IFERROR(VLOOKUP(E126&amp;"_"&amp;F126,plan_catalog!$A:$D,4,0)/12,0)</f>
        <v>5833.333333333333</v>
      </c>
      <c r="J126" s="32">
        <v>15000</v>
      </c>
      <c r="K126" s="32">
        <v>18000</v>
      </c>
      <c r="L126" s="59">
        <f t="shared" si="15"/>
        <v>1.2</v>
      </c>
      <c r="M126" s="49" t="str">
        <f>IFERROR(VLOOKUP(B126,rep_roster!$A:$L,12,0),E126&amp;"_"&amp;F126)</f>
        <v>CSM_Mid-Market</v>
      </c>
      <c r="N126" s="72">
        <f>IFERROR(VLOOKUP(M126,plan_catalog!$A:$G,7,0),0)</f>
        <v>0.06</v>
      </c>
      <c r="O126" s="50">
        <f t="shared" si="16"/>
        <v>1080</v>
      </c>
      <c r="P126" s="72">
        <f>IFERROR(VLOOKUP(M126,plan_catalog!$A:$I,9,0),0)</f>
        <v>1.05</v>
      </c>
      <c r="Q126" s="73">
        <f>IFERROR(VLOOKUP(M126,plan_catalog!$A:$J,10,0),1)</f>
        <v>1.2</v>
      </c>
      <c r="R126" s="72" t="str">
        <f>IFERROR(VLOOKUP(M126,plan_catalog!$A:$K,11,0),0)</f>
        <v>—</v>
      </c>
      <c r="S126" s="73" t="str">
        <f>IFERROR(VLOOKUP(M126,plan_catalog!$A:$L,12,0),1)</f>
        <v>—</v>
      </c>
      <c r="T126" s="74">
        <f t="shared" si="17"/>
        <v>1.2</v>
      </c>
      <c r="U126" s="69">
        <f t="shared" si="18"/>
        <v>1296</v>
      </c>
      <c r="V126" s="57">
        <f t="shared" si="19"/>
        <v>7129.333333333333</v>
      </c>
    </row>
    <row r="127" spans="1:22" ht="15" customHeight="1" x14ac:dyDescent="0.35">
      <c r="A127" s="64">
        <v>123</v>
      </c>
      <c r="B127" s="25" t="s">
        <v>166</v>
      </c>
      <c r="C127" s="25">
        <v>1</v>
      </c>
      <c r="D127" s="52" t="str">
        <f>VLOOKUP(B127,rep_roster!$A:$B,2,0)</f>
        <v>Nina Patel</v>
      </c>
      <c r="E127" s="61" t="str">
        <f>VLOOKUP(B127,rep_roster!$A:$C,3,0)</f>
        <v>SDR</v>
      </c>
      <c r="F127" s="61" t="str">
        <f>VLOOKUP(B127,rep_roster!$A:$D,4,0)</f>
        <v>SMB</v>
      </c>
      <c r="G127" s="61" t="str">
        <f>INDEX({"Jan","Feb","Mar","Apr","May","Jun","Jul","Aug","Sep","Oct","Nov","Dec"},C127)</f>
        <v>Jan</v>
      </c>
      <c r="H127" s="64">
        <v>2025</v>
      </c>
      <c r="I127" s="53">
        <f>IFERROR(VLOOKUP(E127&amp;"_"&amp;F127,plan_catalog!$A:$D,4,0)/12,0)</f>
        <v>4000</v>
      </c>
      <c r="J127" s="39">
        <v>16</v>
      </c>
      <c r="K127" s="39">
        <v>20</v>
      </c>
      <c r="L127" s="62">
        <f t="shared" si="15"/>
        <v>1.25</v>
      </c>
      <c r="M127" s="52" t="str">
        <f>IFERROR(VLOOKUP(B127,rep_roster!$A:$L,12,0),E127&amp;"_"&amp;F127)</f>
        <v>SDR_SMB</v>
      </c>
      <c r="N127" s="65">
        <f>IFERROR(VLOOKUP(M127,plan_catalog!$A:$G,7,0),0)</f>
        <v>89</v>
      </c>
      <c r="O127" s="53">
        <f t="shared" si="16"/>
        <v>1780</v>
      </c>
      <c r="P127" s="66">
        <f>IFERROR(VLOOKUP(M127,plan_catalog!$A:$I,9,0),0)</f>
        <v>1.1000000000000001</v>
      </c>
      <c r="Q127" s="67">
        <f>IFERROR(VLOOKUP(M127,plan_catalog!$A:$J,10,0),1)</f>
        <v>1.2</v>
      </c>
      <c r="R127" s="66" t="str">
        <f>IFERROR(VLOOKUP(M127,plan_catalog!$A:$K,11,0),0)</f>
        <v>—</v>
      </c>
      <c r="S127" s="67" t="str">
        <f>IFERROR(VLOOKUP(M127,plan_catalog!$A:$L,12,0),1)</f>
        <v>—</v>
      </c>
      <c r="T127" s="68">
        <f t="shared" si="17"/>
        <v>1.2</v>
      </c>
      <c r="U127" s="69">
        <f t="shared" si="18"/>
        <v>2136</v>
      </c>
      <c r="V127" s="57">
        <f t="shared" si="19"/>
        <v>6136</v>
      </c>
    </row>
    <row r="128" spans="1:22" ht="15" customHeight="1" x14ac:dyDescent="0.35">
      <c r="A128" s="70">
        <v>124</v>
      </c>
      <c r="B128" s="22" t="s">
        <v>166</v>
      </c>
      <c r="C128" s="22">
        <v>2</v>
      </c>
      <c r="D128" s="49" t="str">
        <f>VLOOKUP(B128,rep_roster!$A:$B,2,0)</f>
        <v>Nina Patel</v>
      </c>
      <c r="E128" s="58" t="str">
        <f>VLOOKUP(B128,rep_roster!$A:$C,3,0)</f>
        <v>SDR</v>
      </c>
      <c r="F128" s="58" t="str">
        <f>VLOOKUP(B128,rep_roster!$A:$D,4,0)</f>
        <v>SMB</v>
      </c>
      <c r="G128" s="58" t="str">
        <f>INDEX({"Jan","Feb","Mar","Apr","May","Jun","Jul","Aug","Sep","Oct","Nov","Dec"},C128)</f>
        <v>Feb</v>
      </c>
      <c r="H128" s="70">
        <v>2025</v>
      </c>
      <c r="I128" s="50">
        <f>IFERROR(VLOOKUP(E128&amp;"_"&amp;F128,plan_catalog!$A:$D,4,0)/12,0)</f>
        <v>4000</v>
      </c>
      <c r="J128" s="33">
        <v>16</v>
      </c>
      <c r="K128" s="33">
        <v>18</v>
      </c>
      <c r="L128" s="59">
        <f t="shared" si="15"/>
        <v>1.125</v>
      </c>
      <c r="M128" s="49" t="str">
        <f>IFERROR(VLOOKUP(B128,rep_roster!$A:$L,12,0),E128&amp;"_"&amp;F128)</f>
        <v>SDR_SMB</v>
      </c>
      <c r="N128" s="71">
        <f>IFERROR(VLOOKUP(M128,plan_catalog!$A:$G,7,0),0)</f>
        <v>89</v>
      </c>
      <c r="O128" s="50">
        <f t="shared" si="16"/>
        <v>1602</v>
      </c>
      <c r="P128" s="72">
        <f>IFERROR(VLOOKUP(M128,plan_catalog!$A:$I,9,0),0)</f>
        <v>1.1000000000000001</v>
      </c>
      <c r="Q128" s="73">
        <f>IFERROR(VLOOKUP(M128,plan_catalog!$A:$J,10,0),1)</f>
        <v>1.2</v>
      </c>
      <c r="R128" s="72" t="str">
        <f>IFERROR(VLOOKUP(M128,plan_catalog!$A:$K,11,0),0)</f>
        <v>—</v>
      </c>
      <c r="S128" s="73" t="str">
        <f>IFERROR(VLOOKUP(M128,plan_catalog!$A:$L,12,0),1)</f>
        <v>—</v>
      </c>
      <c r="T128" s="74">
        <f t="shared" si="17"/>
        <v>1.2</v>
      </c>
      <c r="U128" s="69">
        <f t="shared" si="18"/>
        <v>1922.3999999999999</v>
      </c>
      <c r="V128" s="57">
        <f t="shared" si="19"/>
        <v>5922.4</v>
      </c>
    </row>
    <row r="129" spans="1:22" ht="15" customHeight="1" x14ac:dyDescent="0.35">
      <c r="A129" s="64">
        <v>125</v>
      </c>
      <c r="B129" s="25" t="s">
        <v>166</v>
      </c>
      <c r="C129" s="25">
        <v>3</v>
      </c>
      <c r="D129" s="52" t="str">
        <f>VLOOKUP(B129,rep_roster!$A:$B,2,0)</f>
        <v>Nina Patel</v>
      </c>
      <c r="E129" s="61" t="str">
        <f>VLOOKUP(B129,rep_roster!$A:$C,3,0)</f>
        <v>SDR</v>
      </c>
      <c r="F129" s="61" t="str">
        <f>VLOOKUP(B129,rep_roster!$A:$D,4,0)</f>
        <v>SMB</v>
      </c>
      <c r="G129" s="61" t="str">
        <f>INDEX({"Jan","Feb","Mar","Apr","May","Jun","Jul","Aug","Sep","Oct","Nov","Dec"},C129)</f>
        <v>Mar</v>
      </c>
      <c r="H129" s="64">
        <v>2025</v>
      </c>
      <c r="I129" s="53">
        <f>IFERROR(VLOOKUP(E129&amp;"_"&amp;F129,plan_catalog!$A:$D,4,0)/12,0)</f>
        <v>4000</v>
      </c>
      <c r="J129" s="39">
        <v>16</v>
      </c>
      <c r="K129" s="39">
        <v>21</v>
      </c>
      <c r="L129" s="62">
        <f t="shared" si="15"/>
        <v>1.3125</v>
      </c>
      <c r="M129" s="52" t="str">
        <f>IFERROR(VLOOKUP(B129,rep_roster!$A:$L,12,0),E129&amp;"_"&amp;F129)</f>
        <v>SDR_SMB</v>
      </c>
      <c r="N129" s="65">
        <f>IFERROR(VLOOKUP(M129,plan_catalog!$A:$G,7,0),0)</f>
        <v>89</v>
      </c>
      <c r="O129" s="53">
        <f t="shared" si="16"/>
        <v>1869</v>
      </c>
      <c r="P129" s="66">
        <f>IFERROR(VLOOKUP(M129,plan_catalog!$A:$I,9,0),0)</f>
        <v>1.1000000000000001</v>
      </c>
      <c r="Q129" s="67">
        <f>IFERROR(VLOOKUP(M129,plan_catalog!$A:$J,10,0),1)</f>
        <v>1.2</v>
      </c>
      <c r="R129" s="66" t="str">
        <f>IFERROR(VLOOKUP(M129,plan_catalog!$A:$K,11,0),0)</f>
        <v>—</v>
      </c>
      <c r="S129" s="67" t="str">
        <f>IFERROR(VLOOKUP(M129,plan_catalog!$A:$L,12,0),1)</f>
        <v>—</v>
      </c>
      <c r="T129" s="68">
        <f t="shared" si="17"/>
        <v>1.2</v>
      </c>
      <c r="U129" s="69">
        <f t="shared" si="18"/>
        <v>2242.7999999999997</v>
      </c>
      <c r="V129" s="57">
        <f t="shared" si="19"/>
        <v>6242.7999999999993</v>
      </c>
    </row>
    <row r="130" spans="1:22" ht="15" customHeight="1" x14ac:dyDescent="0.35">
      <c r="A130" s="70">
        <v>126</v>
      </c>
      <c r="B130" s="22" t="s">
        <v>166</v>
      </c>
      <c r="C130" s="22">
        <v>4</v>
      </c>
      <c r="D130" s="49" t="str">
        <f>VLOOKUP(B130,rep_roster!$A:$B,2,0)</f>
        <v>Nina Patel</v>
      </c>
      <c r="E130" s="58" t="str">
        <f>VLOOKUP(B130,rep_roster!$A:$C,3,0)</f>
        <v>SDR</v>
      </c>
      <c r="F130" s="58" t="str">
        <f>VLOOKUP(B130,rep_roster!$A:$D,4,0)</f>
        <v>SMB</v>
      </c>
      <c r="G130" s="58" t="str">
        <f>INDEX({"Jan","Feb","Mar","Apr","May","Jun","Jul","Aug","Sep","Oct","Nov","Dec"},C130)</f>
        <v>Apr</v>
      </c>
      <c r="H130" s="70">
        <v>2025</v>
      </c>
      <c r="I130" s="50">
        <f>IFERROR(VLOOKUP(E130&amp;"_"&amp;F130,plan_catalog!$A:$D,4,0)/12,0)</f>
        <v>4000</v>
      </c>
      <c r="J130" s="33">
        <v>16</v>
      </c>
      <c r="K130" s="33">
        <v>17</v>
      </c>
      <c r="L130" s="59">
        <f t="shared" si="15"/>
        <v>1.0625</v>
      </c>
      <c r="M130" s="49" t="str">
        <f>IFERROR(VLOOKUP(B130,rep_roster!$A:$L,12,0),E130&amp;"_"&amp;F130)</f>
        <v>SDR_SMB</v>
      </c>
      <c r="N130" s="71">
        <f>IFERROR(VLOOKUP(M130,plan_catalog!$A:$G,7,0),0)</f>
        <v>89</v>
      </c>
      <c r="O130" s="50">
        <f t="shared" si="16"/>
        <v>1513</v>
      </c>
      <c r="P130" s="72">
        <f>IFERROR(VLOOKUP(M130,plan_catalog!$A:$I,9,0),0)</f>
        <v>1.1000000000000001</v>
      </c>
      <c r="Q130" s="73">
        <f>IFERROR(VLOOKUP(M130,plan_catalog!$A:$J,10,0),1)</f>
        <v>1.2</v>
      </c>
      <c r="R130" s="72" t="str">
        <f>IFERROR(VLOOKUP(M130,plan_catalog!$A:$K,11,0),0)</f>
        <v>—</v>
      </c>
      <c r="S130" s="73" t="str">
        <f>IFERROR(VLOOKUP(M130,plan_catalog!$A:$L,12,0),1)</f>
        <v>—</v>
      </c>
      <c r="T130" s="74">
        <f t="shared" si="17"/>
        <v>1</v>
      </c>
      <c r="U130" s="69">
        <f t="shared" si="18"/>
        <v>1513</v>
      </c>
      <c r="V130" s="57">
        <f t="shared" si="19"/>
        <v>5513</v>
      </c>
    </row>
    <row r="131" spans="1:22" ht="15" customHeight="1" x14ac:dyDescent="0.35">
      <c r="A131" s="64">
        <v>127</v>
      </c>
      <c r="B131" s="25" t="s">
        <v>166</v>
      </c>
      <c r="C131" s="25">
        <v>5</v>
      </c>
      <c r="D131" s="52" t="str">
        <f>VLOOKUP(B131,rep_roster!$A:$B,2,0)</f>
        <v>Nina Patel</v>
      </c>
      <c r="E131" s="61" t="str">
        <f>VLOOKUP(B131,rep_roster!$A:$C,3,0)</f>
        <v>SDR</v>
      </c>
      <c r="F131" s="61" t="str">
        <f>VLOOKUP(B131,rep_roster!$A:$D,4,0)</f>
        <v>SMB</v>
      </c>
      <c r="G131" s="61" t="str">
        <f>INDEX({"Jan","Feb","Mar","Apr","May","Jun","Jul","Aug","Sep","Oct","Nov","Dec"},C131)</f>
        <v>May</v>
      </c>
      <c r="H131" s="64">
        <v>2025</v>
      </c>
      <c r="I131" s="53">
        <f>IFERROR(VLOOKUP(E131&amp;"_"&amp;F131,plan_catalog!$A:$D,4,0)/12,0)</f>
        <v>4000</v>
      </c>
      <c r="J131" s="39">
        <v>16</v>
      </c>
      <c r="K131" s="39">
        <v>18</v>
      </c>
      <c r="L131" s="62">
        <f t="shared" si="15"/>
        <v>1.125</v>
      </c>
      <c r="M131" s="52" t="str">
        <f>IFERROR(VLOOKUP(B131,rep_roster!$A:$L,12,0),E131&amp;"_"&amp;F131)</f>
        <v>SDR_SMB</v>
      </c>
      <c r="N131" s="65">
        <f>IFERROR(VLOOKUP(M131,plan_catalog!$A:$G,7,0),0)</f>
        <v>89</v>
      </c>
      <c r="O131" s="53">
        <f t="shared" si="16"/>
        <v>1602</v>
      </c>
      <c r="P131" s="66">
        <f>IFERROR(VLOOKUP(M131,plan_catalog!$A:$I,9,0),0)</f>
        <v>1.1000000000000001</v>
      </c>
      <c r="Q131" s="67">
        <f>IFERROR(VLOOKUP(M131,plan_catalog!$A:$J,10,0),1)</f>
        <v>1.2</v>
      </c>
      <c r="R131" s="66" t="str">
        <f>IFERROR(VLOOKUP(M131,plan_catalog!$A:$K,11,0),0)</f>
        <v>—</v>
      </c>
      <c r="S131" s="67" t="str">
        <f>IFERROR(VLOOKUP(M131,plan_catalog!$A:$L,12,0),1)</f>
        <v>—</v>
      </c>
      <c r="T131" s="68">
        <f t="shared" si="17"/>
        <v>1.2</v>
      </c>
      <c r="U131" s="69">
        <f t="shared" si="18"/>
        <v>1922.3999999999999</v>
      </c>
      <c r="V131" s="57">
        <f t="shared" si="19"/>
        <v>5922.4</v>
      </c>
    </row>
    <row r="132" spans="1:22" ht="15" customHeight="1" x14ac:dyDescent="0.35">
      <c r="A132" s="70">
        <v>128</v>
      </c>
      <c r="B132" s="22" t="s">
        <v>166</v>
      </c>
      <c r="C132" s="22">
        <v>6</v>
      </c>
      <c r="D132" s="49" t="str">
        <f>VLOOKUP(B132,rep_roster!$A:$B,2,0)</f>
        <v>Nina Patel</v>
      </c>
      <c r="E132" s="58" t="str">
        <f>VLOOKUP(B132,rep_roster!$A:$C,3,0)</f>
        <v>SDR</v>
      </c>
      <c r="F132" s="58" t="str">
        <f>VLOOKUP(B132,rep_roster!$A:$D,4,0)</f>
        <v>SMB</v>
      </c>
      <c r="G132" s="58" t="str">
        <f>INDEX({"Jan","Feb","Mar","Apr","May","Jun","Jul","Aug","Sep","Oct","Nov","Dec"},C132)</f>
        <v>Jun</v>
      </c>
      <c r="H132" s="70">
        <v>2025</v>
      </c>
      <c r="I132" s="50">
        <f>IFERROR(VLOOKUP(E132&amp;"_"&amp;F132,plan_catalog!$A:$D,4,0)/12,0)</f>
        <v>4000</v>
      </c>
      <c r="J132" s="33">
        <v>16</v>
      </c>
      <c r="K132" s="33">
        <v>16</v>
      </c>
      <c r="L132" s="59">
        <f t="shared" si="15"/>
        <v>1</v>
      </c>
      <c r="M132" s="49" t="str">
        <f>IFERROR(VLOOKUP(B132,rep_roster!$A:$L,12,0),E132&amp;"_"&amp;F132)</f>
        <v>SDR_SMB</v>
      </c>
      <c r="N132" s="71">
        <f>IFERROR(VLOOKUP(M132,plan_catalog!$A:$G,7,0),0)</f>
        <v>89</v>
      </c>
      <c r="O132" s="50">
        <f t="shared" si="16"/>
        <v>1424</v>
      </c>
      <c r="P132" s="72">
        <f>IFERROR(VLOOKUP(M132,plan_catalog!$A:$I,9,0),0)</f>
        <v>1.1000000000000001</v>
      </c>
      <c r="Q132" s="73">
        <f>IFERROR(VLOOKUP(M132,plan_catalog!$A:$J,10,0),1)</f>
        <v>1.2</v>
      </c>
      <c r="R132" s="72" t="str">
        <f>IFERROR(VLOOKUP(M132,plan_catalog!$A:$K,11,0),0)</f>
        <v>—</v>
      </c>
      <c r="S132" s="73" t="str">
        <f>IFERROR(VLOOKUP(M132,plan_catalog!$A:$L,12,0),1)</f>
        <v>—</v>
      </c>
      <c r="T132" s="74">
        <f t="shared" si="17"/>
        <v>1</v>
      </c>
      <c r="U132" s="69">
        <f t="shared" si="18"/>
        <v>1424</v>
      </c>
      <c r="V132" s="57">
        <f t="shared" si="19"/>
        <v>5424</v>
      </c>
    </row>
    <row r="133" spans="1:22" ht="15" customHeight="1" x14ac:dyDescent="0.35">
      <c r="A133" s="64">
        <v>129</v>
      </c>
      <c r="B133" s="25" t="s">
        <v>166</v>
      </c>
      <c r="C133" s="25">
        <v>7</v>
      </c>
      <c r="D133" s="52" t="str">
        <f>VLOOKUP(B133,rep_roster!$A:$B,2,0)</f>
        <v>Nina Patel</v>
      </c>
      <c r="E133" s="61" t="str">
        <f>VLOOKUP(B133,rep_roster!$A:$C,3,0)</f>
        <v>SDR</v>
      </c>
      <c r="F133" s="61" t="str">
        <f>VLOOKUP(B133,rep_roster!$A:$D,4,0)</f>
        <v>SMB</v>
      </c>
      <c r="G133" s="61" t="str">
        <f>INDEX({"Jan","Feb","Mar","Apr","May","Jun","Jul","Aug","Sep","Oct","Nov","Dec"},C133)</f>
        <v>Jul</v>
      </c>
      <c r="H133" s="64">
        <v>2025</v>
      </c>
      <c r="I133" s="53">
        <f>IFERROR(VLOOKUP(E133&amp;"_"&amp;F133,plan_catalog!$A:$D,4,0)/12,0)</f>
        <v>4000</v>
      </c>
      <c r="J133" s="39">
        <v>16</v>
      </c>
      <c r="K133" s="39">
        <v>13</v>
      </c>
      <c r="L133" s="62">
        <f t="shared" ref="L133:L164" si="20">IF(J133&gt;0,K133/J133,0)</f>
        <v>0.8125</v>
      </c>
      <c r="M133" s="52" t="str">
        <f>IFERROR(VLOOKUP(B133,rep_roster!$A:$L,12,0),E133&amp;"_"&amp;F133)</f>
        <v>SDR_SMB</v>
      </c>
      <c r="N133" s="65">
        <f>IFERROR(VLOOKUP(M133,plan_catalog!$A:$G,7,0),0)</f>
        <v>89</v>
      </c>
      <c r="O133" s="53">
        <f t="shared" ref="O133:O164" si="21">K133*N133</f>
        <v>1157</v>
      </c>
      <c r="P133" s="66">
        <f>IFERROR(VLOOKUP(M133,plan_catalog!$A:$I,9,0),0)</f>
        <v>1.1000000000000001</v>
      </c>
      <c r="Q133" s="67">
        <f>IFERROR(VLOOKUP(M133,plan_catalog!$A:$J,10,0),1)</f>
        <v>1.2</v>
      </c>
      <c r="R133" s="66" t="str">
        <f>IFERROR(VLOOKUP(M133,plan_catalog!$A:$K,11,0),0)</f>
        <v>—</v>
      </c>
      <c r="S133" s="67" t="str">
        <f>IFERROR(VLOOKUP(M133,plan_catalog!$A:$L,12,0),1)</f>
        <v>—</v>
      </c>
      <c r="T133" s="68">
        <f t="shared" ref="T133:T164" si="22">IF(AND(R133&gt;0,L133&gt;=R133),S133,IF(AND(P133&gt;0,L133&gt;=P133),Q133,1))</f>
        <v>1</v>
      </c>
      <c r="U133" s="69">
        <f t="shared" ref="U133:U164" si="23">O133*T133</f>
        <v>1157</v>
      </c>
      <c r="V133" s="57">
        <f t="shared" ref="V133:V164" si="24">I133+U133</f>
        <v>5157</v>
      </c>
    </row>
    <row r="134" spans="1:22" ht="15" customHeight="1" x14ac:dyDescent="0.35">
      <c r="A134" s="70">
        <v>130</v>
      </c>
      <c r="B134" s="22" t="s">
        <v>166</v>
      </c>
      <c r="C134" s="22">
        <v>8</v>
      </c>
      <c r="D134" s="49" t="str">
        <f>VLOOKUP(B134,rep_roster!$A:$B,2,0)</f>
        <v>Nina Patel</v>
      </c>
      <c r="E134" s="58" t="str">
        <f>VLOOKUP(B134,rep_roster!$A:$C,3,0)</f>
        <v>SDR</v>
      </c>
      <c r="F134" s="58" t="str">
        <f>VLOOKUP(B134,rep_roster!$A:$D,4,0)</f>
        <v>SMB</v>
      </c>
      <c r="G134" s="58" t="str">
        <f>INDEX({"Jan","Feb","Mar","Apr","May","Jun","Jul","Aug","Sep","Oct","Nov","Dec"},C134)</f>
        <v>Aug</v>
      </c>
      <c r="H134" s="70">
        <v>2025</v>
      </c>
      <c r="I134" s="50">
        <f>IFERROR(VLOOKUP(E134&amp;"_"&amp;F134,plan_catalog!$A:$D,4,0)/12,0)</f>
        <v>4000</v>
      </c>
      <c r="J134" s="33">
        <v>16</v>
      </c>
      <c r="K134" s="33">
        <v>12</v>
      </c>
      <c r="L134" s="59">
        <f t="shared" si="20"/>
        <v>0.75</v>
      </c>
      <c r="M134" s="49" t="str">
        <f>IFERROR(VLOOKUP(B134,rep_roster!$A:$L,12,0),E134&amp;"_"&amp;F134)</f>
        <v>SDR_SMB</v>
      </c>
      <c r="N134" s="71">
        <f>IFERROR(VLOOKUP(M134,plan_catalog!$A:$G,7,0),0)</f>
        <v>89</v>
      </c>
      <c r="O134" s="50">
        <f t="shared" si="21"/>
        <v>1068</v>
      </c>
      <c r="P134" s="72">
        <f>IFERROR(VLOOKUP(M134,plan_catalog!$A:$I,9,0),0)</f>
        <v>1.1000000000000001</v>
      </c>
      <c r="Q134" s="73">
        <f>IFERROR(VLOOKUP(M134,plan_catalog!$A:$J,10,0),1)</f>
        <v>1.2</v>
      </c>
      <c r="R134" s="72" t="str">
        <f>IFERROR(VLOOKUP(M134,plan_catalog!$A:$K,11,0),0)</f>
        <v>—</v>
      </c>
      <c r="S134" s="73" t="str">
        <f>IFERROR(VLOOKUP(M134,plan_catalog!$A:$L,12,0),1)</f>
        <v>—</v>
      </c>
      <c r="T134" s="74">
        <f t="shared" si="22"/>
        <v>1</v>
      </c>
      <c r="U134" s="69">
        <f t="shared" si="23"/>
        <v>1068</v>
      </c>
      <c r="V134" s="57">
        <f t="shared" si="24"/>
        <v>5068</v>
      </c>
    </row>
    <row r="135" spans="1:22" ht="15" customHeight="1" x14ac:dyDescent="0.35">
      <c r="A135" s="64">
        <v>131</v>
      </c>
      <c r="B135" s="25" t="s">
        <v>166</v>
      </c>
      <c r="C135" s="25">
        <v>9</v>
      </c>
      <c r="D135" s="52" t="str">
        <f>VLOOKUP(B135,rep_roster!$A:$B,2,0)</f>
        <v>Nina Patel</v>
      </c>
      <c r="E135" s="61" t="str">
        <f>VLOOKUP(B135,rep_roster!$A:$C,3,0)</f>
        <v>SDR</v>
      </c>
      <c r="F135" s="61" t="str">
        <f>VLOOKUP(B135,rep_roster!$A:$D,4,0)</f>
        <v>SMB</v>
      </c>
      <c r="G135" s="61" t="str">
        <f>INDEX({"Jan","Feb","Mar","Apr","May","Jun","Jul","Aug","Sep","Oct","Nov","Dec"},C135)</f>
        <v>Sep</v>
      </c>
      <c r="H135" s="64">
        <v>2025</v>
      </c>
      <c r="I135" s="53">
        <f>IFERROR(VLOOKUP(E135&amp;"_"&amp;F135,plan_catalog!$A:$D,4,0)/12,0)</f>
        <v>4000</v>
      </c>
      <c r="J135" s="39">
        <v>16</v>
      </c>
      <c r="K135" s="39">
        <v>15</v>
      </c>
      <c r="L135" s="62">
        <f t="shared" si="20"/>
        <v>0.9375</v>
      </c>
      <c r="M135" s="52" t="str">
        <f>IFERROR(VLOOKUP(B135,rep_roster!$A:$L,12,0),E135&amp;"_"&amp;F135)</f>
        <v>SDR_SMB</v>
      </c>
      <c r="N135" s="65">
        <f>IFERROR(VLOOKUP(M135,plan_catalog!$A:$G,7,0),0)</f>
        <v>89</v>
      </c>
      <c r="O135" s="53">
        <f t="shared" si="21"/>
        <v>1335</v>
      </c>
      <c r="P135" s="66">
        <f>IFERROR(VLOOKUP(M135,plan_catalog!$A:$I,9,0),0)</f>
        <v>1.1000000000000001</v>
      </c>
      <c r="Q135" s="67">
        <f>IFERROR(VLOOKUP(M135,plan_catalog!$A:$J,10,0),1)</f>
        <v>1.2</v>
      </c>
      <c r="R135" s="66" t="str">
        <f>IFERROR(VLOOKUP(M135,plan_catalog!$A:$K,11,0),0)</f>
        <v>—</v>
      </c>
      <c r="S135" s="67" t="str">
        <f>IFERROR(VLOOKUP(M135,plan_catalog!$A:$L,12,0),1)</f>
        <v>—</v>
      </c>
      <c r="T135" s="68">
        <f t="shared" si="22"/>
        <v>1</v>
      </c>
      <c r="U135" s="69">
        <f t="shared" si="23"/>
        <v>1335</v>
      </c>
      <c r="V135" s="57">
        <f t="shared" si="24"/>
        <v>5335</v>
      </c>
    </row>
    <row r="136" spans="1:22" ht="15" customHeight="1" x14ac:dyDescent="0.35">
      <c r="A136" s="70">
        <v>132</v>
      </c>
      <c r="B136" s="22" t="s">
        <v>166</v>
      </c>
      <c r="C136" s="22">
        <v>10</v>
      </c>
      <c r="D136" s="49" t="str">
        <f>VLOOKUP(B136,rep_roster!$A:$B,2,0)</f>
        <v>Nina Patel</v>
      </c>
      <c r="E136" s="58" t="str">
        <f>VLOOKUP(B136,rep_roster!$A:$C,3,0)</f>
        <v>SDR</v>
      </c>
      <c r="F136" s="58" t="str">
        <f>VLOOKUP(B136,rep_roster!$A:$D,4,0)</f>
        <v>SMB</v>
      </c>
      <c r="G136" s="58" t="str">
        <f>INDEX({"Jan","Feb","Mar","Apr","May","Jun","Jul","Aug","Sep","Oct","Nov","Dec"},C136)</f>
        <v>Oct</v>
      </c>
      <c r="H136" s="70">
        <v>2025</v>
      </c>
      <c r="I136" s="50">
        <f>IFERROR(VLOOKUP(E136&amp;"_"&amp;F136,plan_catalog!$A:$D,4,0)/12,0)</f>
        <v>4000</v>
      </c>
      <c r="J136" s="33">
        <v>16</v>
      </c>
      <c r="K136" s="33">
        <v>13</v>
      </c>
      <c r="L136" s="59">
        <f t="shared" si="20"/>
        <v>0.8125</v>
      </c>
      <c r="M136" s="49" t="str">
        <f>IFERROR(VLOOKUP(B136,rep_roster!$A:$L,12,0),E136&amp;"_"&amp;F136)</f>
        <v>SDR_SMB</v>
      </c>
      <c r="N136" s="71">
        <f>IFERROR(VLOOKUP(M136,plan_catalog!$A:$G,7,0),0)</f>
        <v>89</v>
      </c>
      <c r="O136" s="50">
        <f t="shared" si="21"/>
        <v>1157</v>
      </c>
      <c r="P136" s="72">
        <f>IFERROR(VLOOKUP(M136,plan_catalog!$A:$I,9,0),0)</f>
        <v>1.1000000000000001</v>
      </c>
      <c r="Q136" s="73">
        <f>IFERROR(VLOOKUP(M136,plan_catalog!$A:$J,10,0),1)</f>
        <v>1.2</v>
      </c>
      <c r="R136" s="72" t="str">
        <f>IFERROR(VLOOKUP(M136,plan_catalog!$A:$K,11,0),0)</f>
        <v>—</v>
      </c>
      <c r="S136" s="73" t="str">
        <f>IFERROR(VLOOKUP(M136,plan_catalog!$A:$L,12,0),1)</f>
        <v>—</v>
      </c>
      <c r="T136" s="74">
        <f t="shared" si="22"/>
        <v>1</v>
      </c>
      <c r="U136" s="69">
        <f t="shared" si="23"/>
        <v>1157</v>
      </c>
      <c r="V136" s="57">
        <f t="shared" si="24"/>
        <v>5157</v>
      </c>
    </row>
    <row r="137" spans="1:22" ht="15" customHeight="1" x14ac:dyDescent="0.35">
      <c r="A137" s="64">
        <v>133</v>
      </c>
      <c r="B137" s="25" t="s">
        <v>166</v>
      </c>
      <c r="C137" s="25">
        <v>11</v>
      </c>
      <c r="D137" s="52" t="str">
        <f>VLOOKUP(B137,rep_roster!$A:$B,2,0)</f>
        <v>Nina Patel</v>
      </c>
      <c r="E137" s="61" t="str">
        <f>VLOOKUP(B137,rep_roster!$A:$C,3,0)</f>
        <v>SDR</v>
      </c>
      <c r="F137" s="61" t="str">
        <f>VLOOKUP(B137,rep_roster!$A:$D,4,0)</f>
        <v>SMB</v>
      </c>
      <c r="G137" s="61" t="str">
        <f>INDEX({"Jan","Feb","Mar","Apr","May","Jun","Jul","Aug","Sep","Oct","Nov","Dec"},C137)</f>
        <v>Nov</v>
      </c>
      <c r="H137" s="64">
        <v>2025</v>
      </c>
      <c r="I137" s="53">
        <f>IFERROR(VLOOKUP(E137&amp;"_"&amp;F137,plan_catalog!$A:$D,4,0)/12,0)</f>
        <v>4000</v>
      </c>
      <c r="J137" s="39">
        <v>16</v>
      </c>
      <c r="K137" s="39">
        <v>14</v>
      </c>
      <c r="L137" s="62">
        <f t="shared" si="20"/>
        <v>0.875</v>
      </c>
      <c r="M137" s="52" t="str">
        <f>IFERROR(VLOOKUP(B137,rep_roster!$A:$L,12,0),E137&amp;"_"&amp;F137)</f>
        <v>SDR_SMB</v>
      </c>
      <c r="N137" s="65">
        <f>IFERROR(VLOOKUP(M137,plan_catalog!$A:$G,7,0),0)</f>
        <v>89</v>
      </c>
      <c r="O137" s="53">
        <f t="shared" si="21"/>
        <v>1246</v>
      </c>
      <c r="P137" s="66">
        <f>IFERROR(VLOOKUP(M137,plan_catalog!$A:$I,9,0),0)</f>
        <v>1.1000000000000001</v>
      </c>
      <c r="Q137" s="67">
        <f>IFERROR(VLOOKUP(M137,plan_catalog!$A:$J,10,0),1)</f>
        <v>1.2</v>
      </c>
      <c r="R137" s="66" t="str">
        <f>IFERROR(VLOOKUP(M137,plan_catalog!$A:$K,11,0),0)</f>
        <v>—</v>
      </c>
      <c r="S137" s="67" t="str">
        <f>IFERROR(VLOOKUP(M137,plan_catalog!$A:$L,12,0),1)</f>
        <v>—</v>
      </c>
      <c r="T137" s="68">
        <f t="shared" si="22"/>
        <v>1</v>
      </c>
      <c r="U137" s="69">
        <f t="shared" si="23"/>
        <v>1246</v>
      </c>
      <c r="V137" s="57">
        <f t="shared" si="24"/>
        <v>5246</v>
      </c>
    </row>
    <row r="138" spans="1:22" ht="15" customHeight="1" x14ac:dyDescent="0.35">
      <c r="A138" s="70">
        <v>134</v>
      </c>
      <c r="B138" s="22" t="s">
        <v>166</v>
      </c>
      <c r="C138" s="22">
        <v>12</v>
      </c>
      <c r="D138" s="49" t="str">
        <f>VLOOKUP(B138,rep_roster!$A:$B,2,0)</f>
        <v>Nina Patel</v>
      </c>
      <c r="E138" s="58" t="str">
        <f>VLOOKUP(B138,rep_roster!$A:$C,3,0)</f>
        <v>SDR</v>
      </c>
      <c r="F138" s="58" t="str">
        <f>VLOOKUP(B138,rep_roster!$A:$D,4,0)</f>
        <v>SMB</v>
      </c>
      <c r="G138" s="58" t="str">
        <f>INDEX({"Jan","Feb","Mar","Apr","May","Jun","Jul","Aug","Sep","Oct","Nov","Dec"},C138)</f>
        <v>Dec</v>
      </c>
      <c r="H138" s="70">
        <v>2025</v>
      </c>
      <c r="I138" s="50">
        <f>IFERROR(VLOOKUP(E138&amp;"_"&amp;F138,plan_catalog!$A:$D,4,0)/12,0)</f>
        <v>4000</v>
      </c>
      <c r="J138" s="33">
        <v>16</v>
      </c>
      <c r="K138" s="33">
        <v>17</v>
      </c>
      <c r="L138" s="59">
        <f t="shared" si="20"/>
        <v>1.0625</v>
      </c>
      <c r="M138" s="49" t="str">
        <f>IFERROR(VLOOKUP(B138,rep_roster!$A:$L,12,0),E138&amp;"_"&amp;F138)</f>
        <v>SDR_SMB</v>
      </c>
      <c r="N138" s="71">
        <f>IFERROR(VLOOKUP(M138,plan_catalog!$A:$G,7,0),0)</f>
        <v>89</v>
      </c>
      <c r="O138" s="50">
        <f t="shared" si="21"/>
        <v>1513</v>
      </c>
      <c r="P138" s="72">
        <f>IFERROR(VLOOKUP(M138,plan_catalog!$A:$I,9,0),0)</f>
        <v>1.1000000000000001</v>
      </c>
      <c r="Q138" s="73">
        <f>IFERROR(VLOOKUP(M138,plan_catalog!$A:$J,10,0),1)</f>
        <v>1.2</v>
      </c>
      <c r="R138" s="72" t="str">
        <f>IFERROR(VLOOKUP(M138,plan_catalog!$A:$K,11,0),0)</f>
        <v>—</v>
      </c>
      <c r="S138" s="73" t="str">
        <f>IFERROR(VLOOKUP(M138,plan_catalog!$A:$L,12,0),1)</f>
        <v>—</v>
      </c>
      <c r="T138" s="74">
        <f t="shared" si="22"/>
        <v>1</v>
      </c>
      <c r="U138" s="69">
        <f t="shared" si="23"/>
        <v>1513</v>
      </c>
      <c r="V138" s="57">
        <f t="shared" si="24"/>
        <v>5513</v>
      </c>
    </row>
    <row r="139" spans="1:22" ht="15" customHeight="1" x14ac:dyDescent="0.35">
      <c r="A139" s="64">
        <v>135</v>
      </c>
      <c r="B139" s="25" t="s">
        <v>168</v>
      </c>
      <c r="C139" s="25">
        <v>1</v>
      </c>
      <c r="D139" s="52" t="str">
        <f>VLOOKUP(B139,rep_roster!$A:$B,2,0)</f>
        <v>Derek Washington</v>
      </c>
      <c r="E139" s="61" t="str">
        <f>VLOOKUP(B139,rep_roster!$A:$C,3,0)</f>
        <v>SDR</v>
      </c>
      <c r="F139" s="61" t="str">
        <f>VLOOKUP(B139,rep_roster!$A:$D,4,0)</f>
        <v>SMB</v>
      </c>
      <c r="G139" s="61" t="str">
        <f>INDEX({"Jan","Feb","Mar","Apr","May","Jun","Jul","Aug","Sep","Oct","Nov","Dec"},C139)</f>
        <v>Jan</v>
      </c>
      <c r="H139" s="64">
        <v>2025</v>
      </c>
      <c r="I139" s="53">
        <f>IFERROR(VLOOKUP(E139&amp;"_"&amp;F139,plan_catalog!$A:$D,4,0)/12,0)</f>
        <v>4000</v>
      </c>
      <c r="J139" s="39">
        <v>16</v>
      </c>
      <c r="K139" s="39">
        <v>18</v>
      </c>
      <c r="L139" s="62">
        <f t="shared" si="20"/>
        <v>1.125</v>
      </c>
      <c r="M139" s="52" t="str">
        <f>IFERROR(VLOOKUP(B139,rep_roster!$A:$L,12,0),E139&amp;"_"&amp;F139)</f>
        <v>SDR_SMB</v>
      </c>
      <c r="N139" s="65">
        <f>IFERROR(VLOOKUP(M139,plan_catalog!$A:$G,7,0),0)</f>
        <v>89</v>
      </c>
      <c r="O139" s="53">
        <f t="shared" si="21"/>
        <v>1602</v>
      </c>
      <c r="P139" s="66">
        <f>IFERROR(VLOOKUP(M139,plan_catalog!$A:$I,9,0),0)</f>
        <v>1.1000000000000001</v>
      </c>
      <c r="Q139" s="67">
        <f>IFERROR(VLOOKUP(M139,plan_catalog!$A:$J,10,0),1)</f>
        <v>1.2</v>
      </c>
      <c r="R139" s="66" t="str">
        <f>IFERROR(VLOOKUP(M139,plan_catalog!$A:$K,11,0),0)</f>
        <v>—</v>
      </c>
      <c r="S139" s="67" t="str">
        <f>IFERROR(VLOOKUP(M139,plan_catalog!$A:$L,12,0),1)</f>
        <v>—</v>
      </c>
      <c r="T139" s="68">
        <f t="shared" si="22"/>
        <v>1.2</v>
      </c>
      <c r="U139" s="69">
        <f t="shared" si="23"/>
        <v>1922.3999999999999</v>
      </c>
      <c r="V139" s="57">
        <f t="shared" si="24"/>
        <v>5922.4</v>
      </c>
    </row>
    <row r="140" spans="1:22" ht="15" customHeight="1" x14ac:dyDescent="0.35">
      <c r="A140" s="70">
        <v>136</v>
      </c>
      <c r="B140" s="22" t="s">
        <v>168</v>
      </c>
      <c r="C140" s="22">
        <v>2</v>
      </c>
      <c r="D140" s="49" t="str">
        <f>VLOOKUP(B140,rep_roster!$A:$B,2,0)</f>
        <v>Derek Washington</v>
      </c>
      <c r="E140" s="58" t="str">
        <f>VLOOKUP(B140,rep_roster!$A:$C,3,0)</f>
        <v>SDR</v>
      </c>
      <c r="F140" s="58" t="str">
        <f>VLOOKUP(B140,rep_roster!$A:$D,4,0)</f>
        <v>SMB</v>
      </c>
      <c r="G140" s="58" t="str">
        <f>INDEX({"Jan","Feb","Mar","Apr","May","Jun","Jul","Aug","Sep","Oct","Nov","Dec"},C140)</f>
        <v>Feb</v>
      </c>
      <c r="H140" s="70">
        <v>2025</v>
      </c>
      <c r="I140" s="50">
        <f>IFERROR(VLOOKUP(E140&amp;"_"&amp;F140,plan_catalog!$A:$D,4,0)/12,0)</f>
        <v>4000</v>
      </c>
      <c r="J140" s="33">
        <v>16</v>
      </c>
      <c r="K140" s="33">
        <v>17</v>
      </c>
      <c r="L140" s="59">
        <f t="shared" si="20"/>
        <v>1.0625</v>
      </c>
      <c r="M140" s="49" t="str">
        <f>IFERROR(VLOOKUP(B140,rep_roster!$A:$L,12,0),E140&amp;"_"&amp;F140)</f>
        <v>SDR_SMB</v>
      </c>
      <c r="N140" s="71">
        <f>IFERROR(VLOOKUP(M140,plan_catalog!$A:$G,7,0),0)</f>
        <v>89</v>
      </c>
      <c r="O140" s="50">
        <f t="shared" si="21"/>
        <v>1513</v>
      </c>
      <c r="P140" s="72">
        <f>IFERROR(VLOOKUP(M140,plan_catalog!$A:$I,9,0),0)</f>
        <v>1.1000000000000001</v>
      </c>
      <c r="Q140" s="73">
        <f>IFERROR(VLOOKUP(M140,plan_catalog!$A:$J,10,0),1)</f>
        <v>1.2</v>
      </c>
      <c r="R140" s="72" t="str">
        <f>IFERROR(VLOOKUP(M140,plan_catalog!$A:$K,11,0),0)</f>
        <v>—</v>
      </c>
      <c r="S140" s="73" t="str">
        <f>IFERROR(VLOOKUP(M140,plan_catalog!$A:$L,12,0),1)</f>
        <v>—</v>
      </c>
      <c r="T140" s="74">
        <f t="shared" si="22"/>
        <v>1</v>
      </c>
      <c r="U140" s="69">
        <f t="shared" si="23"/>
        <v>1513</v>
      </c>
      <c r="V140" s="57">
        <f t="shared" si="24"/>
        <v>5513</v>
      </c>
    </row>
    <row r="141" spans="1:22" ht="15" customHeight="1" x14ac:dyDescent="0.35">
      <c r="A141" s="64">
        <v>137</v>
      </c>
      <c r="B141" s="25" t="s">
        <v>168</v>
      </c>
      <c r="C141" s="25">
        <v>3</v>
      </c>
      <c r="D141" s="52" t="str">
        <f>VLOOKUP(B141,rep_roster!$A:$B,2,0)</f>
        <v>Derek Washington</v>
      </c>
      <c r="E141" s="61" t="str">
        <f>VLOOKUP(B141,rep_roster!$A:$C,3,0)</f>
        <v>SDR</v>
      </c>
      <c r="F141" s="61" t="str">
        <f>VLOOKUP(B141,rep_roster!$A:$D,4,0)</f>
        <v>SMB</v>
      </c>
      <c r="G141" s="61" t="str">
        <f>INDEX({"Jan","Feb","Mar","Apr","May","Jun","Jul","Aug","Sep","Oct","Nov","Dec"},C141)</f>
        <v>Mar</v>
      </c>
      <c r="H141" s="64">
        <v>2025</v>
      </c>
      <c r="I141" s="53">
        <f>IFERROR(VLOOKUP(E141&amp;"_"&amp;F141,plan_catalog!$A:$D,4,0)/12,0)</f>
        <v>4000</v>
      </c>
      <c r="J141" s="39">
        <v>16</v>
      </c>
      <c r="K141" s="39">
        <v>19</v>
      </c>
      <c r="L141" s="62">
        <f t="shared" si="20"/>
        <v>1.1875</v>
      </c>
      <c r="M141" s="52" t="str">
        <f>IFERROR(VLOOKUP(B141,rep_roster!$A:$L,12,0),E141&amp;"_"&amp;F141)</f>
        <v>SDR_SMB</v>
      </c>
      <c r="N141" s="65">
        <f>IFERROR(VLOOKUP(M141,plan_catalog!$A:$G,7,0),0)</f>
        <v>89</v>
      </c>
      <c r="O141" s="53">
        <f t="shared" si="21"/>
        <v>1691</v>
      </c>
      <c r="P141" s="66">
        <f>IFERROR(VLOOKUP(M141,plan_catalog!$A:$I,9,0),0)</f>
        <v>1.1000000000000001</v>
      </c>
      <c r="Q141" s="67">
        <f>IFERROR(VLOOKUP(M141,plan_catalog!$A:$J,10,0),1)</f>
        <v>1.2</v>
      </c>
      <c r="R141" s="66" t="str">
        <f>IFERROR(VLOOKUP(M141,plan_catalog!$A:$K,11,0),0)</f>
        <v>—</v>
      </c>
      <c r="S141" s="67" t="str">
        <f>IFERROR(VLOOKUP(M141,plan_catalog!$A:$L,12,0),1)</f>
        <v>—</v>
      </c>
      <c r="T141" s="68">
        <f t="shared" si="22"/>
        <v>1.2</v>
      </c>
      <c r="U141" s="69">
        <f t="shared" si="23"/>
        <v>2029.1999999999998</v>
      </c>
      <c r="V141" s="57">
        <f t="shared" si="24"/>
        <v>6029.2</v>
      </c>
    </row>
    <row r="142" spans="1:22" ht="15" customHeight="1" x14ac:dyDescent="0.35">
      <c r="A142" s="70">
        <v>138</v>
      </c>
      <c r="B142" s="22" t="s">
        <v>168</v>
      </c>
      <c r="C142" s="22">
        <v>4</v>
      </c>
      <c r="D142" s="49" t="str">
        <f>VLOOKUP(B142,rep_roster!$A:$B,2,0)</f>
        <v>Derek Washington</v>
      </c>
      <c r="E142" s="58" t="str">
        <f>VLOOKUP(B142,rep_roster!$A:$C,3,0)</f>
        <v>SDR</v>
      </c>
      <c r="F142" s="58" t="str">
        <f>VLOOKUP(B142,rep_roster!$A:$D,4,0)</f>
        <v>SMB</v>
      </c>
      <c r="G142" s="58" t="str">
        <f>INDEX({"Jan","Feb","Mar","Apr","May","Jun","Jul","Aug","Sep","Oct","Nov","Dec"},C142)</f>
        <v>Apr</v>
      </c>
      <c r="H142" s="70">
        <v>2025</v>
      </c>
      <c r="I142" s="50">
        <f>IFERROR(VLOOKUP(E142&amp;"_"&amp;F142,plan_catalog!$A:$D,4,0)/12,0)</f>
        <v>4000</v>
      </c>
      <c r="J142" s="33">
        <v>16</v>
      </c>
      <c r="K142" s="33">
        <v>16</v>
      </c>
      <c r="L142" s="59">
        <f t="shared" si="20"/>
        <v>1</v>
      </c>
      <c r="M142" s="49" t="str">
        <f>IFERROR(VLOOKUP(B142,rep_roster!$A:$L,12,0),E142&amp;"_"&amp;F142)</f>
        <v>SDR_SMB</v>
      </c>
      <c r="N142" s="71">
        <f>IFERROR(VLOOKUP(M142,plan_catalog!$A:$G,7,0),0)</f>
        <v>89</v>
      </c>
      <c r="O142" s="50">
        <f t="shared" si="21"/>
        <v>1424</v>
      </c>
      <c r="P142" s="72">
        <f>IFERROR(VLOOKUP(M142,plan_catalog!$A:$I,9,0),0)</f>
        <v>1.1000000000000001</v>
      </c>
      <c r="Q142" s="73">
        <f>IFERROR(VLOOKUP(M142,plan_catalog!$A:$J,10,0),1)</f>
        <v>1.2</v>
      </c>
      <c r="R142" s="72" t="str">
        <f>IFERROR(VLOOKUP(M142,plan_catalog!$A:$K,11,0),0)</f>
        <v>—</v>
      </c>
      <c r="S142" s="73" t="str">
        <f>IFERROR(VLOOKUP(M142,plan_catalog!$A:$L,12,0),1)</f>
        <v>—</v>
      </c>
      <c r="T142" s="74">
        <f t="shared" si="22"/>
        <v>1</v>
      </c>
      <c r="U142" s="69">
        <f t="shared" si="23"/>
        <v>1424</v>
      </c>
      <c r="V142" s="57">
        <f t="shared" si="24"/>
        <v>5424</v>
      </c>
    </row>
    <row r="143" spans="1:22" ht="15" customHeight="1" x14ac:dyDescent="0.35">
      <c r="A143" s="64">
        <v>139</v>
      </c>
      <c r="B143" s="25" t="s">
        <v>168</v>
      </c>
      <c r="C143" s="25">
        <v>5</v>
      </c>
      <c r="D143" s="52" t="str">
        <f>VLOOKUP(B143,rep_roster!$A:$B,2,0)</f>
        <v>Derek Washington</v>
      </c>
      <c r="E143" s="61" t="str">
        <f>VLOOKUP(B143,rep_roster!$A:$C,3,0)</f>
        <v>SDR</v>
      </c>
      <c r="F143" s="61" t="str">
        <f>VLOOKUP(B143,rep_roster!$A:$D,4,0)</f>
        <v>SMB</v>
      </c>
      <c r="G143" s="61" t="str">
        <f>INDEX({"Jan","Feb","Mar","Apr","May","Jun","Jul","Aug","Sep","Oct","Nov","Dec"},C143)</f>
        <v>May</v>
      </c>
      <c r="H143" s="64">
        <v>2025</v>
      </c>
      <c r="I143" s="53">
        <f>IFERROR(VLOOKUP(E143&amp;"_"&amp;F143,plan_catalog!$A:$D,4,0)/12,0)</f>
        <v>4000</v>
      </c>
      <c r="J143" s="39">
        <v>16</v>
      </c>
      <c r="K143" s="39">
        <v>17</v>
      </c>
      <c r="L143" s="62">
        <f t="shared" si="20"/>
        <v>1.0625</v>
      </c>
      <c r="M143" s="52" t="str">
        <f>IFERROR(VLOOKUP(B143,rep_roster!$A:$L,12,0),E143&amp;"_"&amp;F143)</f>
        <v>SDR_SMB</v>
      </c>
      <c r="N143" s="65">
        <f>IFERROR(VLOOKUP(M143,plan_catalog!$A:$G,7,0),0)</f>
        <v>89</v>
      </c>
      <c r="O143" s="53">
        <f t="shared" si="21"/>
        <v>1513</v>
      </c>
      <c r="P143" s="66">
        <f>IFERROR(VLOOKUP(M143,plan_catalog!$A:$I,9,0),0)</f>
        <v>1.1000000000000001</v>
      </c>
      <c r="Q143" s="67">
        <f>IFERROR(VLOOKUP(M143,plan_catalog!$A:$J,10,0),1)</f>
        <v>1.2</v>
      </c>
      <c r="R143" s="66" t="str">
        <f>IFERROR(VLOOKUP(M143,plan_catalog!$A:$K,11,0),0)</f>
        <v>—</v>
      </c>
      <c r="S143" s="67" t="str">
        <f>IFERROR(VLOOKUP(M143,plan_catalog!$A:$L,12,0),1)</f>
        <v>—</v>
      </c>
      <c r="T143" s="68">
        <f t="shared" si="22"/>
        <v>1</v>
      </c>
      <c r="U143" s="69">
        <f t="shared" si="23"/>
        <v>1513</v>
      </c>
      <c r="V143" s="57">
        <f t="shared" si="24"/>
        <v>5513</v>
      </c>
    </row>
    <row r="144" spans="1:22" ht="15" customHeight="1" x14ac:dyDescent="0.35">
      <c r="A144" s="70">
        <v>140</v>
      </c>
      <c r="B144" s="22" t="s">
        <v>168</v>
      </c>
      <c r="C144" s="22">
        <v>6</v>
      </c>
      <c r="D144" s="49" t="str">
        <f>VLOOKUP(B144,rep_roster!$A:$B,2,0)</f>
        <v>Derek Washington</v>
      </c>
      <c r="E144" s="58" t="str">
        <f>VLOOKUP(B144,rep_roster!$A:$C,3,0)</f>
        <v>SDR</v>
      </c>
      <c r="F144" s="58" t="str">
        <f>VLOOKUP(B144,rep_roster!$A:$D,4,0)</f>
        <v>SMB</v>
      </c>
      <c r="G144" s="58" t="str">
        <f>INDEX({"Jan","Feb","Mar","Apr","May","Jun","Jul","Aug","Sep","Oct","Nov","Dec"},C144)</f>
        <v>Jun</v>
      </c>
      <c r="H144" s="70">
        <v>2025</v>
      </c>
      <c r="I144" s="50">
        <f>IFERROR(VLOOKUP(E144&amp;"_"&amp;F144,plan_catalog!$A:$D,4,0)/12,0)</f>
        <v>4000</v>
      </c>
      <c r="J144" s="33">
        <v>16</v>
      </c>
      <c r="K144" s="33">
        <v>15</v>
      </c>
      <c r="L144" s="59">
        <f t="shared" si="20"/>
        <v>0.9375</v>
      </c>
      <c r="M144" s="49" t="str">
        <f>IFERROR(VLOOKUP(B144,rep_roster!$A:$L,12,0),E144&amp;"_"&amp;F144)</f>
        <v>SDR_SMB</v>
      </c>
      <c r="N144" s="71">
        <f>IFERROR(VLOOKUP(M144,plan_catalog!$A:$G,7,0),0)</f>
        <v>89</v>
      </c>
      <c r="O144" s="50">
        <f t="shared" si="21"/>
        <v>1335</v>
      </c>
      <c r="P144" s="72">
        <f>IFERROR(VLOOKUP(M144,plan_catalog!$A:$I,9,0),0)</f>
        <v>1.1000000000000001</v>
      </c>
      <c r="Q144" s="73">
        <f>IFERROR(VLOOKUP(M144,plan_catalog!$A:$J,10,0),1)</f>
        <v>1.2</v>
      </c>
      <c r="R144" s="72" t="str">
        <f>IFERROR(VLOOKUP(M144,plan_catalog!$A:$K,11,0),0)</f>
        <v>—</v>
      </c>
      <c r="S144" s="73" t="str">
        <f>IFERROR(VLOOKUP(M144,plan_catalog!$A:$L,12,0),1)</f>
        <v>—</v>
      </c>
      <c r="T144" s="74">
        <f t="shared" si="22"/>
        <v>1</v>
      </c>
      <c r="U144" s="69">
        <f t="shared" si="23"/>
        <v>1335</v>
      </c>
      <c r="V144" s="57">
        <f t="shared" si="24"/>
        <v>5335</v>
      </c>
    </row>
    <row r="145" spans="1:22" ht="15" customHeight="1" x14ac:dyDescent="0.35">
      <c r="A145" s="64">
        <v>141</v>
      </c>
      <c r="B145" s="25" t="s">
        <v>168</v>
      </c>
      <c r="C145" s="25">
        <v>7</v>
      </c>
      <c r="D145" s="52" t="str">
        <f>VLOOKUP(B145,rep_roster!$A:$B,2,0)</f>
        <v>Derek Washington</v>
      </c>
      <c r="E145" s="61" t="str">
        <f>VLOOKUP(B145,rep_roster!$A:$C,3,0)</f>
        <v>SDR</v>
      </c>
      <c r="F145" s="61" t="str">
        <f>VLOOKUP(B145,rep_roster!$A:$D,4,0)</f>
        <v>SMB</v>
      </c>
      <c r="G145" s="61" t="str">
        <f>INDEX({"Jan","Feb","Mar","Apr","May","Jun","Jul","Aug","Sep","Oct","Nov","Dec"},C145)</f>
        <v>Jul</v>
      </c>
      <c r="H145" s="64">
        <v>2025</v>
      </c>
      <c r="I145" s="53">
        <f>IFERROR(VLOOKUP(E145&amp;"_"&amp;F145,plan_catalog!$A:$D,4,0)/12,0)</f>
        <v>4000</v>
      </c>
      <c r="J145" s="39">
        <v>16</v>
      </c>
      <c r="K145" s="39">
        <v>13</v>
      </c>
      <c r="L145" s="62">
        <f t="shared" si="20"/>
        <v>0.8125</v>
      </c>
      <c r="M145" s="52" t="str">
        <f>IFERROR(VLOOKUP(B145,rep_roster!$A:$L,12,0),E145&amp;"_"&amp;F145)</f>
        <v>SDR_SMB</v>
      </c>
      <c r="N145" s="65">
        <f>IFERROR(VLOOKUP(M145,plan_catalog!$A:$G,7,0),0)</f>
        <v>89</v>
      </c>
      <c r="O145" s="53">
        <f t="shared" si="21"/>
        <v>1157</v>
      </c>
      <c r="P145" s="66">
        <f>IFERROR(VLOOKUP(M145,plan_catalog!$A:$I,9,0),0)</f>
        <v>1.1000000000000001</v>
      </c>
      <c r="Q145" s="67">
        <f>IFERROR(VLOOKUP(M145,plan_catalog!$A:$J,10,0),1)</f>
        <v>1.2</v>
      </c>
      <c r="R145" s="66" t="str">
        <f>IFERROR(VLOOKUP(M145,plan_catalog!$A:$K,11,0),0)</f>
        <v>—</v>
      </c>
      <c r="S145" s="67" t="str">
        <f>IFERROR(VLOOKUP(M145,plan_catalog!$A:$L,12,0),1)</f>
        <v>—</v>
      </c>
      <c r="T145" s="68">
        <f t="shared" si="22"/>
        <v>1</v>
      </c>
      <c r="U145" s="69">
        <f t="shared" si="23"/>
        <v>1157</v>
      </c>
      <c r="V145" s="57">
        <f t="shared" si="24"/>
        <v>5157</v>
      </c>
    </row>
    <row r="146" spans="1:22" ht="15" customHeight="1" x14ac:dyDescent="0.35">
      <c r="A146" s="70">
        <v>142</v>
      </c>
      <c r="B146" s="22" t="s">
        <v>168</v>
      </c>
      <c r="C146" s="22">
        <v>8</v>
      </c>
      <c r="D146" s="49" t="str">
        <f>VLOOKUP(B146,rep_roster!$A:$B,2,0)</f>
        <v>Derek Washington</v>
      </c>
      <c r="E146" s="58" t="str">
        <f>VLOOKUP(B146,rep_roster!$A:$C,3,0)</f>
        <v>SDR</v>
      </c>
      <c r="F146" s="58" t="str">
        <f>VLOOKUP(B146,rep_roster!$A:$D,4,0)</f>
        <v>SMB</v>
      </c>
      <c r="G146" s="58" t="str">
        <f>INDEX({"Jan","Feb","Mar","Apr","May","Jun","Jul","Aug","Sep","Oct","Nov","Dec"},C146)</f>
        <v>Aug</v>
      </c>
      <c r="H146" s="70">
        <v>2025</v>
      </c>
      <c r="I146" s="50">
        <f>IFERROR(VLOOKUP(E146&amp;"_"&amp;F146,plan_catalog!$A:$D,4,0)/12,0)</f>
        <v>4000</v>
      </c>
      <c r="J146" s="33">
        <v>16</v>
      </c>
      <c r="K146" s="33">
        <v>12</v>
      </c>
      <c r="L146" s="59">
        <f t="shared" si="20"/>
        <v>0.75</v>
      </c>
      <c r="M146" s="49" t="str">
        <f>IFERROR(VLOOKUP(B146,rep_roster!$A:$L,12,0),E146&amp;"_"&amp;F146)</f>
        <v>SDR_SMB</v>
      </c>
      <c r="N146" s="71">
        <f>IFERROR(VLOOKUP(M146,plan_catalog!$A:$G,7,0),0)</f>
        <v>89</v>
      </c>
      <c r="O146" s="50">
        <f t="shared" si="21"/>
        <v>1068</v>
      </c>
      <c r="P146" s="72">
        <f>IFERROR(VLOOKUP(M146,plan_catalog!$A:$I,9,0),0)</f>
        <v>1.1000000000000001</v>
      </c>
      <c r="Q146" s="73">
        <f>IFERROR(VLOOKUP(M146,plan_catalog!$A:$J,10,0),1)</f>
        <v>1.2</v>
      </c>
      <c r="R146" s="72" t="str">
        <f>IFERROR(VLOOKUP(M146,plan_catalog!$A:$K,11,0),0)</f>
        <v>—</v>
      </c>
      <c r="S146" s="73" t="str">
        <f>IFERROR(VLOOKUP(M146,plan_catalog!$A:$L,12,0),1)</f>
        <v>—</v>
      </c>
      <c r="T146" s="74">
        <f t="shared" si="22"/>
        <v>1</v>
      </c>
      <c r="U146" s="69">
        <f t="shared" si="23"/>
        <v>1068</v>
      </c>
      <c r="V146" s="57">
        <f t="shared" si="24"/>
        <v>5068</v>
      </c>
    </row>
    <row r="147" spans="1:22" ht="15" customHeight="1" x14ac:dyDescent="0.35">
      <c r="A147" s="64">
        <v>143</v>
      </c>
      <c r="B147" s="25" t="s">
        <v>168</v>
      </c>
      <c r="C147" s="25">
        <v>9</v>
      </c>
      <c r="D147" s="52" t="str">
        <f>VLOOKUP(B147,rep_roster!$A:$B,2,0)</f>
        <v>Derek Washington</v>
      </c>
      <c r="E147" s="61" t="str">
        <f>VLOOKUP(B147,rep_roster!$A:$C,3,0)</f>
        <v>SDR</v>
      </c>
      <c r="F147" s="61" t="str">
        <f>VLOOKUP(B147,rep_roster!$A:$D,4,0)</f>
        <v>SMB</v>
      </c>
      <c r="G147" s="61" t="str">
        <f>INDEX({"Jan","Feb","Mar","Apr","May","Jun","Jul","Aug","Sep","Oct","Nov","Dec"},C147)</f>
        <v>Sep</v>
      </c>
      <c r="H147" s="64">
        <v>2025</v>
      </c>
      <c r="I147" s="53">
        <f>IFERROR(VLOOKUP(E147&amp;"_"&amp;F147,plan_catalog!$A:$D,4,0)/12,0)</f>
        <v>4000</v>
      </c>
      <c r="J147" s="39">
        <v>16</v>
      </c>
      <c r="K147" s="39">
        <v>14</v>
      </c>
      <c r="L147" s="62">
        <f t="shared" si="20"/>
        <v>0.875</v>
      </c>
      <c r="M147" s="52" t="str">
        <f>IFERROR(VLOOKUP(B147,rep_roster!$A:$L,12,0),E147&amp;"_"&amp;F147)</f>
        <v>SDR_SMB</v>
      </c>
      <c r="N147" s="65">
        <f>IFERROR(VLOOKUP(M147,plan_catalog!$A:$G,7,0),0)</f>
        <v>89</v>
      </c>
      <c r="O147" s="53">
        <f t="shared" si="21"/>
        <v>1246</v>
      </c>
      <c r="P147" s="66">
        <f>IFERROR(VLOOKUP(M147,plan_catalog!$A:$I,9,0),0)</f>
        <v>1.1000000000000001</v>
      </c>
      <c r="Q147" s="67">
        <f>IFERROR(VLOOKUP(M147,plan_catalog!$A:$J,10,0),1)</f>
        <v>1.2</v>
      </c>
      <c r="R147" s="66" t="str">
        <f>IFERROR(VLOOKUP(M147,plan_catalog!$A:$K,11,0),0)</f>
        <v>—</v>
      </c>
      <c r="S147" s="67" t="str">
        <f>IFERROR(VLOOKUP(M147,plan_catalog!$A:$L,12,0),1)</f>
        <v>—</v>
      </c>
      <c r="T147" s="68">
        <f t="shared" si="22"/>
        <v>1</v>
      </c>
      <c r="U147" s="69">
        <f t="shared" si="23"/>
        <v>1246</v>
      </c>
      <c r="V147" s="57">
        <f t="shared" si="24"/>
        <v>5246</v>
      </c>
    </row>
    <row r="148" spans="1:22" ht="15" customHeight="1" x14ac:dyDescent="0.35">
      <c r="A148" s="70">
        <v>144</v>
      </c>
      <c r="B148" s="22" t="s">
        <v>168</v>
      </c>
      <c r="C148" s="22">
        <v>10</v>
      </c>
      <c r="D148" s="49" t="str">
        <f>VLOOKUP(B148,rep_roster!$A:$B,2,0)</f>
        <v>Derek Washington</v>
      </c>
      <c r="E148" s="58" t="str">
        <f>VLOOKUP(B148,rep_roster!$A:$C,3,0)</f>
        <v>SDR</v>
      </c>
      <c r="F148" s="58" t="str">
        <f>VLOOKUP(B148,rep_roster!$A:$D,4,0)</f>
        <v>SMB</v>
      </c>
      <c r="G148" s="58" t="str">
        <f>INDEX({"Jan","Feb","Mar","Apr","May","Jun","Jul","Aug","Sep","Oct","Nov","Dec"},C148)</f>
        <v>Oct</v>
      </c>
      <c r="H148" s="70">
        <v>2025</v>
      </c>
      <c r="I148" s="50">
        <f>IFERROR(VLOOKUP(E148&amp;"_"&amp;F148,plan_catalog!$A:$D,4,0)/12,0)</f>
        <v>4000</v>
      </c>
      <c r="J148" s="33">
        <v>16</v>
      </c>
      <c r="K148" s="33">
        <v>12</v>
      </c>
      <c r="L148" s="59">
        <f t="shared" si="20"/>
        <v>0.75</v>
      </c>
      <c r="M148" s="49" t="str">
        <f>IFERROR(VLOOKUP(B148,rep_roster!$A:$L,12,0),E148&amp;"_"&amp;F148)</f>
        <v>SDR_SMB</v>
      </c>
      <c r="N148" s="71">
        <f>IFERROR(VLOOKUP(M148,plan_catalog!$A:$G,7,0),0)</f>
        <v>89</v>
      </c>
      <c r="O148" s="50">
        <f t="shared" si="21"/>
        <v>1068</v>
      </c>
      <c r="P148" s="72">
        <f>IFERROR(VLOOKUP(M148,plan_catalog!$A:$I,9,0),0)</f>
        <v>1.1000000000000001</v>
      </c>
      <c r="Q148" s="73">
        <f>IFERROR(VLOOKUP(M148,plan_catalog!$A:$J,10,0),1)</f>
        <v>1.2</v>
      </c>
      <c r="R148" s="72" t="str">
        <f>IFERROR(VLOOKUP(M148,plan_catalog!$A:$K,11,0),0)</f>
        <v>—</v>
      </c>
      <c r="S148" s="73" t="str">
        <f>IFERROR(VLOOKUP(M148,plan_catalog!$A:$L,12,0),1)</f>
        <v>—</v>
      </c>
      <c r="T148" s="74">
        <f t="shared" si="22"/>
        <v>1</v>
      </c>
      <c r="U148" s="69">
        <f t="shared" si="23"/>
        <v>1068</v>
      </c>
      <c r="V148" s="57">
        <f t="shared" si="24"/>
        <v>5068</v>
      </c>
    </row>
    <row r="149" spans="1:22" ht="15" customHeight="1" x14ac:dyDescent="0.35">
      <c r="A149" s="64">
        <v>145</v>
      </c>
      <c r="B149" s="25" t="s">
        <v>168</v>
      </c>
      <c r="C149" s="25">
        <v>11</v>
      </c>
      <c r="D149" s="52" t="str">
        <f>VLOOKUP(B149,rep_roster!$A:$B,2,0)</f>
        <v>Derek Washington</v>
      </c>
      <c r="E149" s="61" t="str">
        <f>VLOOKUP(B149,rep_roster!$A:$C,3,0)</f>
        <v>SDR</v>
      </c>
      <c r="F149" s="61" t="str">
        <f>VLOOKUP(B149,rep_roster!$A:$D,4,0)</f>
        <v>SMB</v>
      </c>
      <c r="G149" s="61" t="str">
        <f>INDEX({"Jan","Feb","Mar","Apr","May","Jun","Jul","Aug","Sep","Oct","Nov","Dec"},C149)</f>
        <v>Nov</v>
      </c>
      <c r="H149" s="64">
        <v>2025</v>
      </c>
      <c r="I149" s="53">
        <f>IFERROR(VLOOKUP(E149&amp;"_"&amp;F149,plan_catalog!$A:$D,4,0)/12,0)</f>
        <v>4000</v>
      </c>
      <c r="J149" s="39">
        <v>16</v>
      </c>
      <c r="K149" s="39">
        <v>14</v>
      </c>
      <c r="L149" s="62">
        <f t="shared" si="20"/>
        <v>0.875</v>
      </c>
      <c r="M149" s="52" t="str">
        <f>IFERROR(VLOOKUP(B149,rep_roster!$A:$L,12,0),E149&amp;"_"&amp;F149)</f>
        <v>SDR_SMB</v>
      </c>
      <c r="N149" s="65">
        <f>IFERROR(VLOOKUP(M149,plan_catalog!$A:$G,7,0),0)</f>
        <v>89</v>
      </c>
      <c r="O149" s="53">
        <f t="shared" si="21"/>
        <v>1246</v>
      </c>
      <c r="P149" s="66">
        <f>IFERROR(VLOOKUP(M149,plan_catalog!$A:$I,9,0),0)</f>
        <v>1.1000000000000001</v>
      </c>
      <c r="Q149" s="67">
        <f>IFERROR(VLOOKUP(M149,plan_catalog!$A:$J,10,0),1)</f>
        <v>1.2</v>
      </c>
      <c r="R149" s="66" t="str">
        <f>IFERROR(VLOOKUP(M149,plan_catalog!$A:$K,11,0),0)</f>
        <v>—</v>
      </c>
      <c r="S149" s="67" t="str">
        <f>IFERROR(VLOOKUP(M149,plan_catalog!$A:$L,12,0),1)</f>
        <v>—</v>
      </c>
      <c r="T149" s="68">
        <f t="shared" si="22"/>
        <v>1</v>
      </c>
      <c r="U149" s="69">
        <f t="shared" si="23"/>
        <v>1246</v>
      </c>
      <c r="V149" s="57">
        <f t="shared" si="24"/>
        <v>5246</v>
      </c>
    </row>
    <row r="150" spans="1:22" ht="15" customHeight="1" x14ac:dyDescent="0.35">
      <c r="A150" s="70">
        <v>146</v>
      </c>
      <c r="B150" s="22" t="s">
        <v>168</v>
      </c>
      <c r="C150" s="22">
        <v>12</v>
      </c>
      <c r="D150" s="49" t="str">
        <f>VLOOKUP(B150,rep_roster!$A:$B,2,0)</f>
        <v>Derek Washington</v>
      </c>
      <c r="E150" s="58" t="str">
        <f>VLOOKUP(B150,rep_roster!$A:$C,3,0)</f>
        <v>SDR</v>
      </c>
      <c r="F150" s="58" t="str">
        <f>VLOOKUP(B150,rep_roster!$A:$D,4,0)</f>
        <v>SMB</v>
      </c>
      <c r="G150" s="58" t="str">
        <f>INDEX({"Jan","Feb","Mar","Apr","May","Jun","Jul","Aug","Sep","Oct","Nov","Dec"},C150)</f>
        <v>Dec</v>
      </c>
      <c r="H150" s="70">
        <v>2025</v>
      </c>
      <c r="I150" s="50">
        <f>IFERROR(VLOOKUP(E150&amp;"_"&amp;F150,plan_catalog!$A:$D,4,0)/12,0)</f>
        <v>4000</v>
      </c>
      <c r="J150" s="33">
        <v>16</v>
      </c>
      <c r="K150" s="33">
        <v>16</v>
      </c>
      <c r="L150" s="59">
        <f t="shared" si="20"/>
        <v>1</v>
      </c>
      <c r="M150" s="49" t="str">
        <f>IFERROR(VLOOKUP(B150,rep_roster!$A:$L,12,0),E150&amp;"_"&amp;F150)</f>
        <v>SDR_SMB</v>
      </c>
      <c r="N150" s="71">
        <f>IFERROR(VLOOKUP(M150,plan_catalog!$A:$G,7,0),0)</f>
        <v>89</v>
      </c>
      <c r="O150" s="50">
        <f t="shared" si="21"/>
        <v>1424</v>
      </c>
      <c r="P150" s="72">
        <f>IFERROR(VLOOKUP(M150,plan_catalog!$A:$I,9,0),0)</f>
        <v>1.1000000000000001</v>
      </c>
      <c r="Q150" s="73">
        <f>IFERROR(VLOOKUP(M150,plan_catalog!$A:$J,10,0),1)</f>
        <v>1.2</v>
      </c>
      <c r="R150" s="72" t="str">
        <f>IFERROR(VLOOKUP(M150,plan_catalog!$A:$K,11,0),0)</f>
        <v>—</v>
      </c>
      <c r="S150" s="73" t="str">
        <f>IFERROR(VLOOKUP(M150,plan_catalog!$A:$L,12,0),1)</f>
        <v>—</v>
      </c>
      <c r="T150" s="74">
        <f t="shared" si="22"/>
        <v>1</v>
      </c>
      <c r="U150" s="69">
        <f t="shared" si="23"/>
        <v>1424</v>
      </c>
      <c r="V150" s="57">
        <f t="shared" si="24"/>
        <v>5424</v>
      </c>
    </row>
    <row r="151" spans="1:22" ht="15" customHeight="1" x14ac:dyDescent="0.35">
      <c r="A151" s="64">
        <v>147</v>
      </c>
      <c r="B151" s="25" t="s">
        <v>172</v>
      </c>
      <c r="C151" s="25">
        <v>1</v>
      </c>
      <c r="D151" s="52" t="str">
        <f>VLOOKUP(B151,rep_roster!$A:$B,2,0)</f>
        <v>Brandon Cole</v>
      </c>
      <c r="E151" s="61" t="str">
        <f>VLOOKUP(B151,rep_roster!$A:$C,3,0)</f>
        <v>AE</v>
      </c>
      <c r="F151" s="61" t="str">
        <f>VLOOKUP(B151,rep_roster!$A:$D,4,0)</f>
        <v>SMB</v>
      </c>
      <c r="G151" s="61" t="str">
        <f>INDEX({"Jan","Feb","Mar","Apr","May","Jun","Jul","Aug","Sep","Oct","Nov","Dec"},C151)</f>
        <v>Jan</v>
      </c>
      <c r="H151" s="64">
        <v>2025</v>
      </c>
      <c r="I151" s="53">
        <f>IFERROR(VLOOKUP(E151&amp;"_"&amp;F151,plan_catalog!$A:$D,4,0)/12,0)</f>
        <v>5416.666666666667</v>
      </c>
      <c r="J151" s="38">
        <v>25000</v>
      </c>
      <c r="K151" s="38">
        <v>18000</v>
      </c>
      <c r="L151" s="62">
        <f t="shared" si="20"/>
        <v>0.72</v>
      </c>
      <c r="M151" s="52" t="str">
        <f>IFERROR(VLOOKUP(B151,rep_roster!$A:$L,12,0),E151&amp;"_"&amp;F151)</f>
        <v>AE_SMB</v>
      </c>
      <c r="N151" s="66">
        <f>IFERROR(VLOOKUP(M151,plan_catalog!$A:$G,7,0),0)</f>
        <v>0.1</v>
      </c>
      <c r="O151" s="53">
        <f t="shared" si="21"/>
        <v>1800</v>
      </c>
      <c r="P151" s="66">
        <f>IFERROR(VLOOKUP(M151,plan_catalog!$A:$I,9,0),0)</f>
        <v>1</v>
      </c>
      <c r="Q151" s="67">
        <f>IFERROR(VLOOKUP(M151,plan_catalog!$A:$J,10,0),1)</f>
        <v>1.2</v>
      </c>
      <c r="R151" s="66">
        <f>IFERROR(VLOOKUP(M151,plan_catalog!$A:$K,11,0),0)</f>
        <v>1.2</v>
      </c>
      <c r="S151" s="67">
        <f>IFERROR(VLOOKUP(M151,plan_catalog!$A:$L,12,0),1)</f>
        <v>1.4</v>
      </c>
      <c r="T151" s="68">
        <f t="shared" si="22"/>
        <v>1</v>
      </c>
      <c r="U151" s="69">
        <f t="shared" si="23"/>
        <v>1800</v>
      </c>
      <c r="V151" s="57">
        <f t="shared" si="24"/>
        <v>7216.666666666667</v>
      </c>
    </row>
    <row r="152" spans="1:22" ht="15" customHeight="1" x14ac:dyDescent="0.35">
      <c r="A152" s="70">
        <v>148</v>
      </c>
      <c r="B152" s="22" t="s">
        <v>172</v>
      </c>
      <c r="C152" s="22">
        <v>2</v>
      </c>
      <c r="D152" s="49" t="str">
        <f>VLOOKUP(B152,rep_roster!$A:$B,2,0)</f>
        <v>Brandon Cole</v>
      </c>
      <c r="E152" s="58" t="str">
        <f>VLOOKUP(B152,rep_roster!$A:$C,3,0)</f>
        <v>AE</v>
      </c>
      <c r="F152" s="58" t="str">
        <f>VLOOKUP(B152,rep_roster!$A:$D,4,0)</f>
        <v>SMB</v>
      </c>
      <c r="G152" s="58" t="str">
        <f>INDEX({"Jan","Feb","Mar","Apr","May","Jun","Jul","Aug","Sep","Oct","Nov","Dec"},C152)</f>
        <v>Feb</v>
      </c>
      <c r="H152" s="70">
        <v>2025</v>
      </c>
      <c r="I152" s="50">
        <f>IFERROR(VLOOKUP(E152&amp;"_"&amp;F152,plan_catalog!$A:$D,4,0)/12,0)</f>
        <v>5416.666666666667</v>
      </c>
      <c r="J152" s="32">
        <v>25000</v>
      </c>
      <c r="K152" s="32">
        <v>15000</v>
      </c>
      <c r="L152" s="59">
        <f t="shared" si="20"/>
        <v>0.6</v>
      </c>
      <c r="M152" s="49" t="str">
        <f>IFERROR(VLOOKUP(B152,rep_roster!$A:$L,12,0),E152&amp;"_"&amp;F152)</f>
        <v>AE_SMB</v>
      </c>
      <c r="N152" s="72">
        <f>IFERROR(VLOOKUP(M152,plan_catalog!$A:$G,7,0),0)</f>
        <v>0.1</v>
      </c>
      <c r="O152" s="50">
        <f t="shared" si="21"/>
        <v>1500</v>
      </c>
      <c r="P152" s="72">
        <f>IFERROR(VLOOKUP(M152,plan_catalog!$A:$I,9,0),0)</f>
        <v>1</v>
      </c>
      <c r="Q152" s="73">
        <f>IFERROR(VLOOKUP(M152,plan_catalog!$A:$J,10,0),1)</f>
        <v>1.2</v>
      </c>
      <c r="R152" s="72">
        <f>IFERROR(VLOOKUP(M152,plan_catalog!$A:$K,11,0),0)</f>
        <v>1.2</v>
      </c>
      <c r="S152" s="73">
        <f>IFERROR(VLOOKUP(M152,plan_catalog!$A:$L,12,0),1)</f>
        <v>1.4</v>
      </c>
      <c r="T152" s="74">
        <f t="shared" si="22"/>
        <v>1</v>
      </c>
      <c r="U152" s="69">
        <f t="shared" si="23"/>
        <v>1500</v>
      </c>
      <c r="V152" s="57">
        <f t="shared" si="24"/>
        <v>6916.666666666667</v>
      </c>
    </row>
    <row r="153" spans="1:22" ht="15" customHeight="1" x14ac:dyDescent="0.35">
      <c r="A153" s="64">
        <v>149</v>
      </c>
      <c r="B153" s="25" t="s">
        <v>172</v>
      </c>
      <c r="C153" s="25">
        <v>3</v>
      </c>
      <c r="D153" s="52" t="str">
        <f>VLOOKUP(B153,rep_roster!$A:$B,2,0)</f>
        <v>Brandon Cole</v>
      </c>
      <c r="E153" s="61" t="str">
        <f>VLOOKUP(B153,rep_roster!$A:$C,3,0)</f>
        <v>AE</v>
      </c>
      <c r="F153" s="61" t="str">
        <f>VLOOKUP(B153,rep_roster!$A:$D,4,0)</f>
        <v>SMB</v>
      </c>
      <c r="G153" s="61" t="str">
        <f>INDEX({"Jan","Feb","Mar","Apr","May","Jun","Jul","Aug","Sep","Oct","Nov","Dec"},C153)</f>
        <v>Mar</v>
      </c>
      <c r="H153" s="64">
        <v>2025</v>
      </c>
      <c r="I153" s="53">
        <f>IFERROR(VLOOKUP(E153&amp;"_"&amp;F153,plan_catalog!$A:$D,4,0)/12,0)</f>
        <v>5416.666666666667</v>
      </c>
      <c r="J153" s="38">
        <v>25000</v>
      </c>
      <c r="K153" s="38">
        <v>20000</v>
      </c>
      <c r="L153" s="62">
        <f t="shared" si="20"/>
        <v>0.8</v>
      </c>
      <c r="M153" s="52" t="str">
        <f>IFERROR(VLOOKUP(B153,rep_roster!$A:$L,12,0),E153&amp;"_"&amp;F153)</f>
        <v>AE_SMB</v>
      </c>
      <c r="N153" s="66">
        <f>IFERROR(VLOOKUP(M153,plan_catalog!$A:$G,7,0),0)</f>
        <v>0.1</v>
      </c>
      <c r="O153" s="53">
        <f t="shared" si="21"/>
        <v>2000</v>
      </c>
      <c r="P153" s="66">
        <f>IFERROR(VLOOKUP(M153,plan_catalog!$A:$I,9,0),0)</f>
        <v>1</v>
      </c>
      <c r="Q153" s="67">
        <f>IFERROR(VLOOKUP(M153,plan_catalog!$A:$J,10,0),1)</f>
        <v>1.2</v>
      </c>
      <c r="R153" s="66">
        <f>IFERROR(VLOOKUP(M153,plan_catalog!$A:$K,11,0),0)</f>
        <v>1.2</v>
      </c>
      <c r="S153" s="67">
        <f>IFERROR(VLOOKUP(M153,plan_catalog!$A:$L,12,0),1)</f>
        <v>1.4</v>
      </c>
      <c r="T153" s="68">
        <f t="shared" si="22"/>
        <v>1</v>
      </c>
      <c r="U153" s="69">
        <f t="shared" si="23"/>
        <v>2000</v>
      </c>
      <c r="V153" s="57">
        <f t="shared" si="24"/>
        <v>7416.666666666667</v>
      </c>
    </row>
    <row r="154" spans="1:22" ht="15" customHeight="1" x14ac:dyDescent="0.35">
      <c r="A154" s="70">
        <v>150</v>
      </c>
      <c r="B154" s="22" t="s">
        <v>172</v>
      </c>
      <c r="C154" s="22">
        <v>4</v>
      </c>
      <c r="D154" s="49" t="str">
        <f>VLOOKUP(B154,rep_roster!$A:$B,2,0)</f>
        <v>Brandon Cole</v>
      </c>
      <c r="E154" s="58" t="str">
        <f>VLOOKUP(B154,rep_roster!$A:$C,3,0)</f>
        <v>AE</v>
      </c>
      <c r="F154" s="58" t="str">
        <f>VLOOKUP(B154,rep_roster!$A:$D,4,0)</f>
        <v>SMB</v>
      </c>
      <c r="G154" s="58" t="str">
        <f>INDEX({"Jan","Feb","Mar","Apr","May","Jun","Jul","Aug","Sep","Oct","Nov","Dec"},C154)</f>
        <v>Apr</v>
      </c>
      <c r="H154" s="70">
        <v>2025</v>
      </c>
      <c r="I154" s="50">
        <f>IFERROR(VLOOKUP(E154&amp;"_"&amp;F154,plan_catalog!$A:$D,4,0)/12,0)</f>
        <v>5416.666666666667</v>
      </c>
      <c r="J154" s="32">
        <v>25000</v>
      </c>
      <c r="K154" s="32">
        <v>17000</v>
      </c>
      <c r="L154" s="59">
        <f t="shared" si="20"/>
        <v>0.68</v>
      </c>
      <c r="M154" s="49" t="str">
        <f>IFERROR(VLOOKUP(B154,rep_roster!$A:$L,12,0),E154&amp;"_"&amp;F154)</f>
        <v>AE_SMB</v>
      </c>
      <c r="N154" s="72">
        <f>IFERROR(VLOOKUP(M154,plan_catalog!$A:$G,7,0),0)</f>
        <v>0.1</v>
      </c>
      <c r="O154" s="50">
        <f t="shared" si="21"/>
        <v>1700</v>
      </c>
      <c r="P154" s="72">
        <f>IFERROR(VLOOKUP(M154,plan_catalog!$A:$I,9,0),0)</f>
        <v>1</v>
      </c>
      <c r="Q154" s="73">
        <f>IFERROR(VLOOKUP(M154,plan_catalog!$A:$J,10,0),1)</f>
        <v>1.2</v>
      </c>
      <c r="R154" s="72">
        <f>IFERROR(VLOOKUP(M154,plan_catalog!$A:$K,11,0),0)</f>
        <v>1.2</v>
      </c>
      <c r="S154" s="73">
        <f>IFERROR(VLOOKUP(M154,plan_catalog!$A:$L,12,0),1)</f>
        <v>1.4</v>
      </c>
      <c r="T154" s="74">
        <f t="shared" si="22"/>
        <v>1</v>
      </c>
      <c r="U154" s="69">
        <f t="shared" si="23"/>
        <v>1700</v>
      </c>
      <c r="V154" s="57">
        <f t="shared" si="24"/>
        <v>7116.666666666667</v>
      </c>
    </row>
    <row r="155" spans="1:22" ht="15" customHeight="1" x14ac:dyDescent="0.35">
      <c r="A155" s="64">
        <v>151</v>
      </c>
      <c r="B155" s="25" t="s">
        <v>172</v>
      </c>
      <c r="C155" s="25">
        <v>5</v>
      </c>
      <c r="D155" s="52" t="str">
        <f>VLOOKUP(B155,rep_roster!$A:$B,2,0)</f>
        <v>Brandon Cole</v>
      </c>
      <c r="E155" s="61" t="str">
        <f>VLOOKUP(B155,rep_roster!$A:$C,3,0)</f>
        <v>AE</v>
      </c>
      <c r="F155" s="61" t="str">
        <f>VLOOKUP(B155,rep_roster!$A:$D,4,0)</f>
        <v>SMB</v>
      </c>
      <c r="G155" s="61" t="str">
        <f>INDEX({"Jan","Feb","Mar","Apr","May","Jun","Jul","Aug","Sep","Oct","Nov","Dec"},C155)</f>
        <v>May</v>
      </c>
      <c r="H155" s="64">
        <v>2025</v>
      </c>
      <c r="I155" s="53">
        <f>IFERROR(VLOOKUP(E155&amp;"_"&amp;F155,plan_catalog!$A:$D,4,0)/12,0)</f>
        <v>5416.666666666667</v>
      </c>
      <c r="J155" s="38">
        <v>25000</v>
      </c>
      <c r="K155" s="38">
        <v>15000</v>
      </c>
      <c r="L155" s="62">
        <f t="shared" si="20"/>
        <v>0.6</v>
      </c>
      <c r="M155" s="52" t="str">
        <f>IFERROR(VLOOKUP(B155,rep_roster!$A:$L,12,0),E155&amp;"_"&amp;F155)</f>
        <v>AE_SMB</v>
      </c>
      <c r="N155" s="66">
        <f>IFERROR(VLOOKUP(M155,plan_catalog!$A:$G,7,0),0)</f>
        <v>0.1</v>
      </c>
      <c r="O155" s="53">
        <f t="shared" si="21"/>
        <v>1500</v>
      </c>
      <c r="P155" s="66">
        <f>IFERROR(VLOOKUP(M155,plan_catalog!$A:$I,9,0),0)</f>
        <v>1</v>
      </c>
      <c r="Q155" s="67">
        <f>IFERROR(VLOOKUP(M155,plan_catalog!$A:$J,10,0),1)</f>
        <v>1.2</v>
      </c>
      <c r="R155" s="66">
        <f>IFERROR(VLOOKUP(M155,plan_catalog!$A:$K,11,0),0)</f>
        <v>1.2</v>
      </c>
      <c r="S155" s="67">
        <f>IFERROR(VLOOKUP(M155,plan_catalog!$A:$L,12,0),1)</f>
        <v>1.4</v>
      </c>
      <c r="T155" s="68">
        <f t="shared" si="22"/>
        <v>1</v>
      </c>
      <c r="U155" s="69">
        <f t="shared" si="23"/>
        <v>1500</v>
      </c>
      <c r="V155" s="57">
        <f t="shared" si="24"/>
        <v>6916.666666666667</v>
      </c>
    </row>
    <row r="156" spans="1:22" ht="15" customHeight="1" x14ac:dyDescent="0.35">
      <c r="A156" s="70">
        <v>152</v>
      </c>
      <c r="B156" s="22" t="s">
        <v>172</v>
      </c>
      <c r="C156" s="22">
        <v>6</v>
      </c>
      <c r="D156" s="49" t="str">
        <f>VLOOKUP(B156,rep_roster!$A:$B,2,0)</f>
        <v>Brandon Cole</v>
      </c>
      <c r="E156" s="58" t="str">
        <f>VLOOKUP(B156,rep_roster!$A:$C,3,0)</f>
        <v>AE</v>
      </c>
      <c r="F156" s="58" t="str">
        <f>VLOOKUP(B156,rep_roster!$A:$D,4,0)</f>
        <v>SMB</v>
      </c>
      <c r="G156" s="58" t="str">
        <f>INDEX({"Jan","Feb","Mar","Apr","May","Jun","Jul","Aug","Sep","Oct","Nov","Dec"},C156)</f>
        <v>Jun</v>
      </c>
      <c r="H156" s="70">
        <v>2025</v>
      </c>
      <c r="I156" s="50">
        <f>IFERROR(VLOOKUP(E156&amp;"_"&amp;F156,plan_catalog!$A:$D,4,0)/12,0)</f>
        <v>5416.666666666667</v>
      </c>
      <c r="J156" s="32">
        <v>25000</v>
      </c>
      <c r="K156" s="32">
        <v>14000</v>
      </c>
      <c r="L156" s="59">
        <f t="shared" si="20"/>
        <v>0.56000000000000005</v>
      </c>
      <c r="M156" s="49" t="str">
        <f>IFERROR(VLOOKUP(B156,rep_roster!$A:$L,12,0),E156&amp;"_"&amp;F156)</f>
        <v>AE_SMB</v>
      </c>
      <c r="N156" s="72">
        <f>IFERROR(VLOOKUP(M156,plan_catalog!$A:$G,7,0),0)</f>
        <v>0.1</v>
      </c>
      <c r="O156" s="50">
        <f t="shared" si="21"/>
        <v>1400</v>
      </c>
      <c r="P156" s="72">
        <f>IFERROR(VLOOKUP(M156,plan_catalog!$A:$I,9,0),0)</f>
        <v>1</v>
      </c>
      <c r="Q156" s="73">
        <f>IFERROR(VLOOKUP(M156,plan_catalog!$A:$J,10,0),1)</f>
        <v>1.2</v>
      </c>
      <c r="R156" s="72">
        <f>IFERROR(VLOOKUP(M156,plan_catalog!$A:$K,11,0),0)</f>
        <v>1.2</v>
      </c>
      <c r="S156" s="73">
        <f>IFERROR(VLOOKUP(M156,plan_catalog!$A:$L,12,0),1)</f>
        <v>1.4</v>
      </c>
      <c r="T156" s="74">
        <f t="shared" si="22"/>
        <v>1</v>
      </c>
      <c r="U156" s="69">
        <f t="shared" si="23"/>
        <v>1400</v>
      </c>
      <c r="V156" s="57">
        <f t="shared" si="24"/>
        <v>6816.666666666667</v>
      </c>
    </row>
    <row r="157" spans="1:22" ht="15" customHeight="1" x14ac:dyDescent="0.35">
      <c r="A157" s="64">
        <v>153</v>
      </c>
      <c r="B157" s="25" t="s">
        <v>174</v>
      </c>
      <c r="C157" s="25">
        <v>7</v>
      </c>
      <c r="D157" s="52" t="str">
        <f>VLOOKUP(B157,rep_roster!$A:$B,2,0)</f>
        <v>Stephanie Kim</v>
      </c>
      <c r="E157" s="61" t="str">
        <f>VLOOKUP(B157,rep_roster!$A:$C,3,0)</f>
        <v>AE</v>
      </c>
      <c r="F157" s="61" t="str">
        <f>VLOOKUP(B157,rep_roster!$A:$D,4,0)</f>
        <v>SMB</v>
      </c>
      <c r="G157" s="61" t="str">
        <f>INDEX({"Jan","Feb","Mar","Apr","May","Jun","Jul","Aug","Sep","Oct","Nov","Dec"},C157)</f>
        <v>Jul</v>
      </c>
      <c r="H157" s="64">
        <v>2025</v>
      </c>
      <c r="I157" s="53">
        <f>IFERROR(VLOOKUP(E157&amp;"_"&amp;F157,plan_catalog!$A:$D,4,0)/12,0)</f>
        <v>5416.666666666667</v>
      </c>
      <c r="J157" s="38">
        <v>10000</v>
      </c>
      <c r="K157" s="38">
        <v>10000</v>
      </c>
      <c r="L157" s="62">
        <f t="shared" si="20"/>
        <v>1</v>
      </c>
      <c r="M157" s="52" t="str">
        <f>IFERROR(VLOOKUP(B157,rep_roster!$A:$L,12,0),E157&amp;"_"&amp;F157)</f>
        <v>AE_SMB</v>
      </c>
      <c r="N157" s="66">
        <f>IFERROR(VLOOKUP(M157,plan_catalog!$A:$G,7,0),0)</f>
        <v>0.1</v>
      </c>
      <c r="O157" s="53">
        <f t="shared" si="21"/>
        <v>1000</v>
      </c>
      <c r="P157" s="66">
        <f>IFERROR(VLOOKUP(M157,plan_catalog!$A:$I,9,0),0)</f>
        <v>1</v>
      </c>
      <c r="Q157" s="67">
        <f>IFERROR(VLOOKUP(M157,plan_catalog!$A:$J,10,0),1)</f>
        <v>1.2</v>
      </c>
      <c r="R157" s="66">
        <f>IFERROR(VLOOKUP(M157,plan_catalog!$A:$K,11,0),0)</f>
        <v>1.2</v>
      </c>
      <c r="S157" s="67">
        <f>IFERROR(VLOOKUP(M157,plan_catalog!$A:$L,12,0),1)</f>
        <v>1.4</v>
      </c>
      <c r="T157" s="68">
        <f t="shared" si="22"/>
        <v>1.2</v>
      </c>
      <c r="U157" s="69">
        <f t="shared" si="23"/>
        <v>1200</v>
      </c>
      <c r="V157" s="57">
        <f t="shared" si="24"/>
        <v>6616.666666666667</v>
      </c>
    </row>
    <row r="158" spans="1:22" ht="15" customHeight="1" x14ac:dyDescent="0.35">
      <c r="A158" s="70">
        <v>154</v>
      </c>
      <c r="B158" s="22" t="s">
        <v>174</v>
      </c>
      <c r="C158" s="22">
        <v>8</v>
      </c>
      <c r="D158" s="49" t="str">
        <f>VLOOKUP(B158,rep_roster!$A:$B,2,0)</f>
        <v>Stephanie Kim</v>
      </c>
      <c r="E158" s="58" t="str">
        <f>VLOOKUP(B158,rep_roster!$A:$C,3,0)</f>
        <v>AE</v>
      </c>
      <c r="F158" s="58" t="str">
        <f>VLOOKUP(B158,rep_roster!$A:$D,4,0)</f>
        <v>SMB</v>
      </c>
      <c r="G158" s="58" t="str">
        <f>INDEX({"Jan","Feb","Mar","Apr","May","Jun","Jul","Aug","Sep","Oct","Nov","Dec"},C158)</f>
        <v>Aug</v>
      </c>
      <c r="H158" s="70">
        <v>2025</v>
      </c>
      <c r="I158" s="50">
        <f>IFERROR(VLOOKUP(E158&amp;"_"&amp;F158,plan_catalog!$A:$D,4,0)/12,0)</f>
        <v>5416.666666666667</v>
      </c>
      <c r="J158" s="32">
        <v>17500</v>
      </c>
      <c r="K158" s="32">
        <v>17000</v>
      </c>
      <c r="L158" s="59">
        <f t="shared" si="20"/>
        <v>0.97142857142857142</v>
      </c>
      <c r="M158" s="49" t="str">
        <f>IFERROR(VLOOKUP(B158,rep_roster!$A:$L,12,0),E158&amp;"_"&amp;F158)</f>
        <v>AE_SMB</v>
      </c>
      <c r="N158" s="72">
        <f>IFERROR(VLOOKUP(M158,plan_catalog!$A:$G,7,0),0)</f>
        <v>0.1</v>
      </c>
      <c r="O158" s="50">
        <f t="shared" si="21"/>
        <v>1700</v>
      </c>
      <c r="P158" s="72">
        <f>IFERROR(VLOOKUP(M158,plan_catalog!$A:$I,9,0),0)</f>
        <v>1</v>
      </c>
      <c r="Q158" s="73">
        <f>IFERROR(VLOOKUP(M158,plan_catalog!$A:$J,10,0),1)</f>
        <v>1.2</v>
      </c>
      <c r="R158" s="72">
        <f>IFERROR(VLOOKUP(M158,plan_catalog!$A:$K,11,0),0)</f>
        <v>1.2</v>
      </c>
      <c r="S158" s="73">
        <f>IFERROR(VLOOKUP(M158,plan_catalog!$A:$L,12,0),1)</f>
        <v>1.4</v>
      </c>
      <c r="T158" s="74">
        <f t="shared" si="22"/>
        <v>1</v>
      </c>
      <c r="U158" s="69">
        <f t="shared" si="23"/>
        <v>1700</v>
      </c>
      <c r="V158" s="57">
        <f t="shared" si="24"/>
        <v>7116.666666666667</v>
      </c>
    </row>
    <row r="159" spans="1:22" ht="15" customHeight="1" x14ac:dyDescent="0.35">
      <c r="A159" s="64">
        <v>155</v>
      </c>
      <c r="B159" s="25" t="s">
        <v>174</v>
      </c>
      <c r="C159" s="25">
        <v>9</v>
      </c>
      <c r="D159" s="52" t="str">
        <f>VLOOKUP(B159,rep_roster!$A:$B,2,0)</f>
        <v>Stephanie Kim</v>
      </c>
      <c r="E159" s="61" t="str">
        <f>VLOOKUP(B159,rep_roster!$A:$C,3,0)</f>
        <v>AE</v>
      </c>
      <c r="F159" s="61" t="str">
        <f>VLOOKUP(B159,rep_roster!$A:$D,4,0)</f>
        <v>SMB</v>
      </c>
      <c r="G159" s="61" t="str">
        <f>INDEX({"Jan","Feb","Mar","Apr","May","Jun","Jul","Aug","Sep","Oct","Nov","Dec"},C159)</f>
        <v>Sep</v>
      </c>
      <c r="H159" s="64">
        <v>2025</v>
      </c>
      <c r="I159" s="53">
        <f>IFERROR(VLOOKUP(E159&amp;"_"&amp;F159,plan_catalog!$A:$D,4,0)/12,0)</f>
        <v>5416.666666666667</v>
      </c>
      <c r="J159" s="38">
        <v>25000</v>
      </c>
      <c r="K159" s="38">
        <v>25000</v>
      </c>
      <c r="L159" s="62">
        <f t="shared" si="20"/>
        <v>1</v>
      </c>
      <c r="M159" s="52" t="str">
        <f>IFERROR(VLOOKUP(B159,rep_roster!$A:$L,12,0),E159&amp;"_"&amp;F159)</f>
        <v>AE_SMB</v>
      </c>
      <c r="N159" s="66">
        <f>IFERROR(VLOOKUP(M159,plan_catalog!$A:$G,7,0),0)</f>
        <v>0.1</v>
      </c>
      <c r="O159" s="53">
        <f t="shared" si="21"/>
        <v>2500</v>
      </c>
      <c r="P159" s="66">
        <f>IFERROR(VLOOKUP(M159,plan_catalog!$A:$I,9,0),0)</f>
        <v>1</v>
      </c>
      <c r="Q159" s="67">
        <f>IFERROR(VLOOKUP(M159,plan_catalog!$A:$J,10,0),1)</f>
        <v>1.2</v>
      </c>
      <c r="R159" s="66">
        <f>IFERROR(VLOOKUP(M159,plan_catalog!$A:$K,11,0),0)</f>
        <v>1.2</v>
      </c>
      <c r="S159" s="67">
        <f>IFERROR(VLOOKUP(M159,plan_catalog!$A:$L,12,0),1)</f>
        <v>1.4</v>
      </c>
      <c r="T159" s="68">
        <f t="shared" si="22"/>
        <v>1.2</v>
      </c>
      <c r="U159" s="69">
        <f t="shared" si="23"/>
        <v>3000</v>
      </c>
      <c r="V159" s="57">
        <f t="shared" si="24"/>
        <v>8416.6666666666679</v>
      </c>
    </row>
    <row r="160" spans="1:22" ht="15" customHeight="1" x14ac:dyDescent="0.35">
      <c r="A160" s="70">
        <v>156</v>
      </c>
      <c r="B160" s="22" t="s">
        <v>174</v>
      </c>
      <c r="C160" s="22">
        <v>10</v>
      </c>
      <c r="D160" s="49" t="str">
        <f>VLOOKUP(B160,rep_roster!$A:$B,2,0)</f>
        <v>Stephanie Kim</v>
      </c>
      <c r="E160" s="58" t="str">
        <f>VLOOKUP(B160,rep_roster!$A:$C,3,0)</f>
        <v>AE</v>
      </c>
      <c r="F160" s="58" t="str">
        <f>VLOOKUP(B160,rep_roster!$A:$D,4,0)</f>
        <v>SMB</v>
      </c>
      <c r="G160" s="58" t="str">
        <f>INDEX({"Jan","Feb","Mar","Apr","May","Jun","Jul","Aug","Sep","Oct","Nov","Dec"},C160)</f>
        <v>Oct</v>
      </c>
      <c r="H160" s="70">
        <v>2025</v>
      </c>
      <c r="I160" s="50">
        <f>IFERROR(VLOOKUP(E160&amp;"_"&amp;F160,plan_catalog!$A:$D,4,0)/12,0)</f>
        <v>5416.666666666667</v>
      </c>
      <c r="J160" s="32">
        <v>25000</v>
      </c>
      <c r="K160" s="32">
        <v>24000</v>
      </c>
      <c r="L160" s="59">
        <f t="shared" si="20"/>
        <v>0.96</v>
      </c>
      <c r="M160" s="49" t="str">
        <f>IFERROR(VLOOKUP(B160,rep_roster!$A:$L,12,0),E160&amp;"_"&amp;F160)</f>
        <v>AE_SMB</v>
      </c>
      <c r="N160" s="72">
        <f>IFERROR(VLOOKUP(M160,plan_catalog!$A:$G,7,0),0)</f>
        <v>0.1</v>
      </c>
      <c r="O160" s="50">
        <f t="shared" si="21"/>
        <v>2400</v>
      </c>
      <c r="P160" s="72">
        <f>IFERROR(VLOOKUP(M160,plan_catalog!$A:$I,9,0),0)</f>
        <v>1</v>
      </c>
      <c r="Q160" s="73">
        <f>IFERROR(VLOOKUP(M160,plan_catalog!$A:$J,10,0),1)</f>
        <v>1.2</v>
      </c>
      <c r="R160" s="72">
        <f>IFERROR(VLOOKUP(M160,plan_catalog!$A:$K,11,0),0)</f>
        <v>1.2</v>
      </c>
      <c r="S160" s="73">
        <f>IFERROR(VLOOKUP(M160,plan_catalog!$A:$L,12,0),1)</f>
        <v>1.4</v>
      </c>
      <c r="T160" s="74">
        <f t="shared" si="22"/>
        <v>1</v>
      </c>
      <c r="U160" s="69">
        <f t="shared" si="23"/>
        <v>2400</v>
      </c>
      <c r="V160" s="57">
        <f t="shared" si="24"/>
        <v>7816.666666666667</v>
      </c>
    </row>
    <row r="161" spans="1:22" ht="15" customHeight="1" x14ac:dyDescent="0.35">
      <c r="A161" s="64">
        <v>157</v>
      </c>
      <c r="B161" s="25" t="s">
        <v>174</v>
      </c>
      <c r="C161" s="25">
        <v>11</v>
      </c>
      <c r="D161" s="52" t="str">
        <f>VLOOKUP(B161,rep_roster!$A:$B,2,0)</f>
        <v>Stephanie Kim</v>
      </c>
      <c r="E161" s="61" t="str">
        <f>VLOOKUP(B161,rep_roster!$A:$C,3,0)</f>
        <v>AE</v>
      </c>
      <c r="F161" s="61" t="str">
        <f>VLOOKUP(B161,rep_roster!$A:$D,4,0)</f>
        <v>SMB</v>
      </c>
      <c r="G161" s="61" t="str">
        <f>INDEX({"Jan","Feb","Mar","Apr","May","Jun","Jul","Aug","Sep","Oct","Nov","Dec"},C161)</f>
        <v>Nov</v>
      </c>
      <c r="H161" s="64">
        <v>2025</v>
      </c>
      <c r="I161" s="53">
        <f>IFERROR(VLOOKUP(E161&amp;"_"&amp;F161,plan_catalog!$A:$D,4,0)/12,0)</f>
        <v>5416.666666666667</v>
      </c>
      <c r="J161" s="38">
        <v>25000</v>
      </c>
      <c r="K161" s="38">
        <v>21000</v>
      </c>
      <c r="L161" s="62">
        <f t="shared" si="20"/>
        <v>0.84</v>
      </c>
      <c r="M161" s="52" t="str">
        <f>IFERROR(VLOOKUP(B161,rep_roster!$A:$L,12,0),E161&amp;"_"&amp;F161)</f>
        <v>AE_SMB</v>
      </c>
      <c r="N161" s="66">
        <f>IFERROR(VLOOKUP(M161,plan_catalog!$A:$G,7,0),0)</f>
        <v>0.1</v>
      </c>
      <c r="O161" s="53">
        <f t="shared" si="21"/>
        <v>2100</v>
      </c>
      <c r="P161" s="66">
        <f>IFERROR(VLOOKUP(M161,plan_catalog!$A:$I,9,0),0)</f>
        <v>1</v>
      </c>
      <c r="Q161" s="67">
        <f>IFERROR(VLOOKUP(M161,plan_catalog!$A:$J,10,0),1)</f>
        <v>1.2</v>
      </c>
      <c r="R161" s="66">
        <f>IFERROR(VLOOKUP(M161,plan_catalog!$A:$K,11,0),0)</f>
        <v>1.2</v>
      </c>
      <c r="S161" s="67">
        <f>IFERROR(VLOOKUP(M161,plan_catalog!$A:$L,12,0),1)</f>
        <v>1.4</v>
      </c>
      <c r="T161" s="68">
        <f t="shared" si="22"/>
        <v>1</v>
      </c>
      <c r="U161" s="69">
        <f t="shared" si="23"/>
        <v>2100</v>
      </c>
      <c r="V161" s="57">
        <f t="shared" si="24"/>
        <v>7516.666666666667</v>
      </c>
    </row>
    <row r="162" spans="1:22" ht="15" customHeight="1" x14ac:dyDescent="0.35">
      <c r="A162" s="70">
        <v>158</v>
      </c>
      <c r="B162" s="22" t="s">
        <v>174</v>
      </c>
      <c r="C162" s="22">
        <v>12</v>
      </c>
      <c r="D162" s="49" t="str">
        <f>VLOOKUP(B162,rep_roster!$A:$B,2,0)</f>
        <v>Stephanie Kim</v>
      </c>
      <c r="E162" s="58" t="str">
        <f>VLOOKUP(B162,rep_roster!$A:$C,3,0)</f>
        <v>AE</v>
      </c>
      <c r="F162" s="58" t="str">
        <f>VLOOKUP(B162,rep_roster!$A:$D,4,0)</f>
        <v>SMB</v>
      </c>
      <c r="G162" s="58" t="str">
        <f>INDEX({"Jan","Feb","Mar","Apr","May","Jun","Jul","Aug","Sep","Oct","Nov","Dec"},C162)</f>
        <v>Dec</v>
      </c>
      <c r="H162" s="70">
        <v>2025</v>
      </c>
      <c r="I162" s="50">
        <f>IFERROR(VLOOKUP(E162&amp;"_"&amp;F162,plan_catalog!$A:$D,4,0)/12,0)</f>
        <v>5416.666666666667</v>
      </c>
      <c r="J162" s="32">
        <v>25000</v>
      </c>
      <c r="K162" s="32">
        <v>26000</v>
      </c>
      <c r="L162" s="59">
        <f t="shared" si="20"/>
        <v>1.04</v>
      </c>
      <c r="M162" s="49" t="str">
        <f>IFERROR(VLOOKUP(B162,rep_roster!$A:$L,12,0),E162&amp;"_"&amp;F162)</f>
        <v>AE_SMB</v>
      </c>
      <c r="N162" s="72">
        <f>IFERROR(VLOOKUP(M162,plan_catalog!$A:$G,7,0),0)</f>
        <v>0.1</v>
      </c>
      <c r="O162" s="50">
        <f t="shared" si="21"/>
        <v>2600</v>
      </c>
      <c r="P162" s="72">
        <f>IFERROR(VLOOKUP(M162,plan_catalog!$A:$I,9,0),0)</f>
        <v>1</v>
      </c>
      <c r="Q162" s="73">
        <f>IFERROR(VLOOKUP(M162,plan_catalog!$A:$J,10,0),1)</f>
        <v>1.2</v>
      </c>
      <c r="R162" s="72">
        <f>IFERROR(VLOOKUP(M162,plan_catalog!$A:$K,11,0),0)</f>
        <v>1.2</v>
      </c>
      <c r="S162" s="73">
        <f>IFERROR(VLOOKUP(M162,plan_catalog!$A:$L,12,0),1)</f>
        <v>1.4</v>
      </c>
      <c r="T162" s="74">
        <f t="shared" si="22"/>
        <v>1.2</v>
      </c>
      <c r="U162" s="69">
        <f t="shared" si="23"/>
        <v>3120</v>
      </c>
      <c r="V162" s="57">
        <f t="shared" si="24"/>
        <v>8536.6666666666679</v>
      </c>
    </row>
    <row r="163" spans="1:22" ht="15" customHeight="1" x14ac:dyDescent="0.35">
      <c r="A163" s="64">
        <v>159</v>
      </c>
      <c r="B163" s="25" t="s">
        <v>177</v>
      </c>
      <c r="C163" s="25">
        <v>1</v>
      </c>
      <c r="D163" s="52" t="str">
        <f>VLOOKUP(B163,rep_roster!$A:$B,2,0)</f>
        <v>Amy Chen</v>
      </c>
      <c r="E163" s="61" t="str">
        <f>VLOOKUP(B163,rep_roster!$A:$C,3,0)</f>
        <v>AE</v>
      </c>
      <c r="F163" s="61" t="str">
        <f>VLOOKUP(B163,rep_roster!$A:$D,4,0)</f>
        <v>SMB</v>
      </c>
      <c r="G163" s="61" t="str">
        <f>INDEX({"Jan","Feb","Mar","Apr","May","Jun","Jul","Aug","Sep","Oct","Nov","Dec"},C163)</f>
        <v>Jan</v>
      </c>
      <c r="H163" s="64">
        <v>2025</v>
      </c>
      <c r="I163" s="53">
        <f>IFERROR(VLOOKUP(E163&amp;"_"&amp;F163,plan_catalog!$A:$D,4,0)/12,0)</f>
        <v>5416.666666666667</v>
      </c>
      <c r="J163" s="38">
        <v>25000</v>
      </c>
      <c r="K163" s="38">
        <v>32000</v>
      </c>
      <c r="L163" s="62">
        <f t="shared" si="20"/>
        <v>1.28</v>
      </c>
      <c r="M163" s="52" t="str">
        <f>IFERROR(VLOOKUP(B163,rep_roster!$A:$L,12,0),E163&amp;"_"&amp;F163)</f>
        <v>AE_SMB</v>
      </c>
      <c r="N163" s="66">
        <f>IFERROR(VLOOKUP(M163,plan_catalog!$A:$G,7,0),0)</f>
        <v>0.1</v>
      </c>
      <c r="O163" s="53">
        <f t="shared" si="21"/>
        <v>3200</v>
      </c>
      <c r="P163" s="66">
        <f>IFERROR(VLOOKUP(M163,plan_catalog!$A:$I,9,0),0)</f>
        <v>1</v>
      </c>
      <c r="Q163" s="67">
        <f>IFERROR(VLOOKUP(M163,plan_catalog!$A:$J,10,0),1)</f>
        <v>1.2</v>
      </c>
      <c r="R163" s="66">
        <f>IFERROR(VLOOKUP(M163,plan_catalog!$A:$K,11,0),0)</f>
        <v>1.2</v>
      </c>
      <c r="S163" s="67">
        <f>IFERROR(VLOOKUP(M163,plan_catalog!$A:$L,12,0),1)</f>
        <v>1.4</v>
      </c>
      <c r="T163" s="68">
        <f t="shared" si="22"/>
        <v>1.4</v>
      </c>
      <c r="U163" s="69">
        <f t="shared" si="23"/>
        <v>4480</v>
      </c>
      <c r="V163" s="57">
        <f t="shared" si="24"/>
        <v>9896.6666666666679</v>
      </c>
    </row>
    <row r="164" spans="1:22" ht="15" customHeight="1" x14ac:dyDescent="0.35">
      <c r="A164" s="70">
        <v>160</v>
      </c>
      <c r="B164" s="22" t="s">
        <v>177</v>
      </c>
      <c r="C164" s="22">
        <v>2</v>
      </c>
      <c r="D164" s="49" t="str">
        <f>VLOOKUP(B164,rep_roster!$A:$B,2,0)</f>
        <v>Amy Chen</v>
      </c>
      <c r="E164" s="58" t="str">
        <f>VLOOKUP(B164,rep_roster!$A:$C,3,0)</f>
        <v>AE</v>
      </c>
      <c r="F164" s="58" t="str">
        <f>VLOOKUP(B164,rep_roster!$A:$D,4,0)</f>
        <v>SMB</v>
      </c>
      <c r="G164" s="58" t="str">
        <f>INDEX({"Jan","Feb","Mar","Apr","May","Jun","Jul","Aug","Sep","Oct","Nov","Dec"},C164)</f>
        <v>Feb</v>
      </c>
      <c r="H164" s="70">
        <v>2025</v>
      </c>
      <c r="I164" s="50">
        <f>IFERROR(VLOOKUP(E164&amp;"_"&amp;F164,plan_catalog!$A:$D,4,0)/12,0)</f>
        <v>5416.666666666667</v>
      </c>
      <c r="J164" s="32">
        <v>25000</v>
      </c>
      <c r="K164" s="32">
        <v>29000</v>
      </c>
      <c r="L164" s="59">
        <f t="shared" si="20"/>
        <v>1.1599999999999999</v>
      </c>
      <c r="M164" s="49" t="str">
        <f>IFERROR(VLOOKUP(B164,rep_roster!$A:$L,12,0),E164&amp;"_"&amp;F164)</f>
        <v>AE_SMB</v>
      </c>
      <c r="N164" s="72">
        <f>IFERROR(VLOOKUP(M164,plan_catalog!$A:$G,7,0),0)</f>
        <v>0.1</v>
      </c>
      <c r="O164" s="50">
        <f t="shared" si="21"/>
        <v>2900</v>
      </c>
      <c r="P164" s="72">
        <f>IFERROR(VLOOKUP(M164,plan_catalog!$A:$I,9,0),0)</f>
        <v>1</v>
      </c>
      <c r="Q164" s="73">
        <f>IFERROR(VLOOKUP(M164,plan_catalog!$A:$J,10,0),1)</f>
        <v>1.2</v>
      </c>
      <c r="R164" s="72">
        <f>IFERROR(VLOOKUP(M164,plan_catalog!$A:$K,11,0),0)</f>
        <v>1.2</v>
      </c>
      <c r="S164" s="73">
        <f>IFERROR(VLOOKUP(M164,plan_catalog!$A:$L,12,0),1)</f>
        <v>1.4</v>
      </c>
      <c r="T164" s="74">
        <f t="shared" si="22"/>
        <v>1.2</v>
      </c>
      <c r="U164" s="69">
        <f t="shared" si="23"/>
        <v>3480</v>
      </c>
      <c r="V164" s="57">
        <f t="shared" si="24"/>
        <v>8896.6666666666679</v>
      </c>
    </row>
    <row r="165" spans="1:22" ht="15" customHeight="1" x14ac:dyDescent="0.35">
      <c r="A165" s="64">
        <v>161</v>
      </c>
      <c r="B165" s="25" t="s">
        <v>177</v>
      </c>
      <c r="C165" s="25">
        <v>3</v>
      </c>
      <c r="D165" s="52" t="str">
        <f>VLOOKUP(B165,rep_roster!$A:$B,2,0)</f>
        <v>Amy Chen</v>
      </c>
      <c r="E165" s="61" t="str">
        <f>VLOOKUP(B165,rep_roster!$A:$C,3,0)</f>
        <v>AE</v>
      </c>
      <c r="F165" s="61" t="str">
        <f>VLOOKUP(B165,rep_roster!$A:$D,4,0)</f>
        <v>SMB</v>
      </c>
      <c r="G165" s="61" t="str">
        <f>INDEX({"Jan","Feb","Mar","Apr","May","Jun","Jul","Aug","Sep","Oct","Nov","Dec"},C165)</f>
        <v>Mar</v>
      </c>
      <c r="H165" s="64">
        <v>2025</v>
      </c>
      <c r="I165" s="53">
        <f>IFERROR(VLOOKUP(E165&amp;"_"&amp;F165,plan_catalog!$A:$D,4,0)/12,0)</f>
        <v>5416.666666666667</v>
      </c>
      <c r="J165" s="38">
        <v>25000</v>
      </c>
      <c r="K165" s="38">
        <v>35000</v>
      </c>
      <c r="L165" s="62">
        <f t="shared" ref="L165:L196" si="25">IF(J165&gt;0,K165/J165,0)</f>
        <v>1.4</v>
      </c>
      <c r="M165" s="52" t="str">
        <f>IFERROR(VLOOKUP(B165,rep_roster!$A:$L,12,0),E165&amp;"_"&amp;F165)</f>
        <v>AE_SMB</v>
      </c>
      <c r="N165" s="66">
        <f>IFERROR(VLOOKUP(M165,plan_catalog!$A:$G,7,0),0)</f>
        <v>0.1</v>
      </c>
      <c r="O165" s="53">
        <f t="shared" ref="O165:O196" si="26">K165*N165</f>
        <v>3500</v>
      </c>
      <c r="P165" s="66">
        <f>IFERROR(VLOOKUP(M165,plan_catalog!$A:$I,9,0),0)</f>
        <v>1</v>
      </c>
      <c r="Q165" s="67">
        <f>IFERROR(VLOOKUP(M165,plan_catalog!$A:$J,10,0),1)</f>
        <v>1.2</v>
      </c>
      <c r="R165" s="66">
        <f>IFERROR(VLOOKUP(M165,plan_catalog!$A:$K,11,0),0)</f>
        <v>1.2</v>
      </c>
      <c r="S165" s="67">
        <f>IFERROR(VLOOKUP(M165,plan_catalog!$A:$L,12,0),1)</f>
        <v>1.4</v>
      </c>
      <c r="T165" s="68">
        <f t="shared" ref="T165:T196" si="27">IF(AND(R165&gt;0,L165&gt;=R165),S165,IF(AND(P165&gt;0,L165&gt;=P165),Q165,1))</f>
        <v>1.4</v>
      </c>
      <c r="U165" s="69">
        <f t="shared" ref="U165:U196" si="28">O165*T165</f>
        <v>4900</v>
      </c>
      <c r="V165" s="57">
        <f t="shared" ref="V165:V196" si="29">I165+U165</f>
        <v>10316.666666666668</v>
      </c>
    </row>
    <row r="166" spans="1:22" ht="15" customHeight="1" x14ac:dyDescent="0.35">
      <c r="A166" s="70">
        <v>162</v>
      </c>
      <c r="B166" s="22" t="s">
        <v>177</v>
      </c>
      <c r="C166" s="22">
        <v>4</v>
      </c>
      <c r="D166" s="49" t="str">
        <f>VLOOKUP(B166,rep_roster!$A:$B,2,0)</f>
        <v>Amy Chen</v>
      </c>
      <c r="E166" s="58" t="str">
        <f>VLOOKUP(B166,rep_roster!$A:$C,3,0)</f>
        <v>AE</v>
      </c>
      <c r="F166" s="58" t="str">
        <f>VLOOKUP(B166,rep_roster!$A:$D,4,0)</f>
        <v>SMB</v>
      </c>
      <c r="G166" s="58" t="str">
        <f>INDEX({"Jan","Feb","Mar","Apr","May","Jun","Jul","Aug","Sep","Oct","Nov","Dec"},C166)</f>
        <v>Apr</v>
      </c>
      <c r="H166" s="70">
        <v>2025</v>
      </c>
      <c r="I166" s="50">
        <f>IFERROR(VLOOKUP(E166&amp;"_"&amp;F166,plan_catalog!$A:$D,4,0)/12,0)</f>
        <v>5416.666666666667</v>
      </c>
      <c r="J166" s="32">
        <v>25000</v>
      </c>
      <c r="K166" s="32">
        <v>27000</v>
      </c>
      <c r="L166" s="59">
        <f t="shared" si="25"/>
        <v>1.08</v>
      </c>
      <c r="M166" s="49" t="str">
        <f>IFERROR(VLOOKUP(B166,rep_roster!$A:$L,12,0),E166&amp;"_"&amp;F166)</f>
        <v>AE_SMB</v>
      </c>
      <c r="N166" s="72">
        <f>IFERROR(VLOOKUP(M166,plan_catalog!$A:$G,7,0),0)</f>
        <v>0.1</v>
      </c>
      <c r="O166" s="50">
        <f t="shared" si="26"/>
        <v>2700</v>
      </c>
      <c r="P166" s="72">
        <f>IFERROR(VLOOKUP(M166,plan_catalog!$A:$I,9,0),0)</f>
        <v>1</v>
      </c>
      <c r="Q166" s="73">
        <f>IFERROR(VLOOKUP(M166,plan_catalog!$A:$J,10,0),1)</f>
        <v>1.2</v>
      </c>
      <c r="R166" s="72">
        <f>IFERROR(VLOOKUP(M166,plan_catalog!$A:$K,11,0),0)</f>
        <v>1.2</v>
      </c>
      <c r="S166" s="73">
        <f>IFERROR(VLOOKUP(M166,plan_catalog!$A:$L,12,0),1)</f>
        <v>1.4</v>
      </c>
      <c r="T166" s="74">
        <f t="shared" si="27"/>
        <v>1.2</v>
      </c>
      <c r="U166" s="69">
        <f t="shared" si="28"/>
        <v>3240</v>
      </c>
      <c r="V166" s="57">
        <f t="shared" si="29"/>
        <v>8656.6666666666679</v>
      </c>
    </row>
    <row r="167" spans="1:22" ht="15" customHeight="1" x14ac:dyDescent="0.35">
      <c r="A167" s="64">
        <v>163</v>
      </c>
      <c r="B167" s="25" t="s">
        <v>177</v>
      </c>
      <c r="C167" s="25">
        <v>5</v>
      </c>
      <c r="D167" s="52" t="str">
        <f>VLOOKUP(B167,rep_roster!$A:$B,2,0)</f>
        <v>Amy Chen</v>
      </c>
      <c r="E167" s="61" t="str">
        <f>VLOOKUP(B167,rep_roster!$A:$C,3,0)</f>
        <v>AE</v>
      </c>
      <c r="F167" s="61" t="str">
        <f>VLOOKUP(B167,rep_roster!$A:$D,4,0)</f>
        <v>SMB</v>
      </c>
      <c r="G167" s="61" t="str">
        <f>INDEX({"Jan","Feb","Mar","Apr","May","Jun","Jul","Aug","Sep","Oct","Nov","Dec"},C167)</f>
        <v>May</v>
      </c>
      <c r="H167" s="64">
        <v>2025</v>
      </c>
      <c r="I167" s="53">
        <f>IFERROR(VLOOKUP(E167&amp;"_"&amp;F167,plan_catalog!$A:$D,4,0)/12,0)</f>
        <v>5416.666666666667</v>
      </c>
      <c r="J167" s="38">
        <v>25000</v>
      </c>
      <c r="K167" s="38">
        <v>30000</v>
      </c>
      <c r="L167" s="62">
        <f t="shared" si="25"/>
        <v>1.2</v>
      </c>
      <c r="M167" s="52" t="str">
        <f>IFERROR(VLOOKUP(B167,rep_roster!$A:$L,12,0),E167&amp;"_"&amp;F167)</f>
        <v>AE_SMB</v>
      </c>
      <c r="N167" s="66">
        <f>IFERROR(VLOOKUP(M167,plan_catalog!$A:$G,7,0),0)</f>
        <v>0.1</v>
      </c>
      <c r="O167" s="53">
        <f t="shared" si="26"/>
        <v>3000</v>
      </c>
      <c r="P167" s="66">
        <f>IFERROR(VLOOKUP(M167,plan_catalog!$A:$I,9,0),0)</f>
        <v>1</v>
      </c>
      <c r="Q167" s="67">
        <f>IFERROR(VLOOKUP(M167,plan_catalog!$A:$J,10,0),1)</f>
        <v>1.2</v>
      </c>
      <c r="R167" s="66">
        <f>IFERROR(VLOOKUP(M167,plan_catalog!$A:$K,11,0),0)</f>
        <v>1.2</v>
      </c>
      <c r="S167" s="67">
        <f>IFERROR(VLOOKUP(M167,plan_catalog!$A:$L,12,0),1)</f>
        <v>1.4</v>
      </c>
      <c r="T167" s="68">
        <f t="shared" si="27"/>
        <v>1.4</v>
      </c>
      <c r="U167" s="69">
        <f t="shared" si="28"/>
        <v>4200</v>
      </c>
      <c r="V167" s="57">
        <f t="shared" si="29"/>
        <v>9616.6666666666679</v>
      </c>
    </row>
    <row r="168" spans="1:22" ht="15" customHeight="1" x14ac:dyDescent="0.35">
      <c r="A168" s="70">
        <v>164</v>
      </c>
      <c r="B168" s="22" t="s">
        <v>177</v>
      </c>
      <c r="C168" s="22">
        <v>6</v>
      </c>
      <c r="D168" s="49" t="str">
        <f>VLOOKUP(B168,rep_roster!$A:$B,2,0)</f>
        <v>Amy Chen</v>
      </c>
      <c r="E168" s="58" t="str">
        <f>VLOOKUP(B168,rep_roster!$A:$C,3,0)</f>
        <v>AE</v>
      </c>
      <c r="F168" s="58" t="str">
        <f>VLOOKUP(B168,rep_roster!$A:$D,4,0)</f>
        <v>SMB</v>
      </c>
      <c r="G168" s="58" t="str">
        <f>INDEX({"Jan","Feb","Mar","Apr","May","Jun","Jul","Aug","Sep","Oct","Nov","Dec"},C168)</f>
        <v>Jun</v>
      </c>
      <c r="H168" s="70">
        <v>2025</v>
      </c>
      <c r="I168" s="50">
        <f>IFERROR(VLOOKUP(E168&amp;"_"&amp;F168,plan_catalog!$A:$D,4,0)/12,0)</f>
        <v>5416.666666666667</v>
      </c>
      <c r="J168" s="32">
        <v>25000</v>
      </c>
      <c r="K168" s="32">
        <v>28000</v>
      </c>
      <c r="L168" s="59">
        <f t="shared" si="25"/>
        <v>1.1200000000000001</v>
      </c>
      <c r="M168" s="49" t="str">
        <f>IFERROR(VLOOKUP(B168,rep_roster!$A:$L,12,0),E168&amp;"_"&amp;F168)</f>
        <v>AE_SMB</v>
      </c>
      <c r="N168" s="72">
        <f>IFERROR(VLOOKUP(M168,plan_catalog!$A:$G,7,0),0)</f>
        <v>0.1</v>
      </c>
      <c r="O168" s="50">
        <f t="shared" si="26"/>
        <v>2800</v>
      </c>
      <c r="P168" s="72">
        <f>IFERROR(VLOOKUP(M168,plan_catalog!$A:$I,9,0),0)</f>
        <v>1</v>
      </c>
      <c r="Q168" s="73">
        <f>IFERROR(VLOOKUP(M168,plan_catalog!$A:$J,10,0),1)</f>
        <v>1.2</v>
      </c>
      <c r="R168" s="72">
        <f>IFERROR(VLOOKUP(M168,plan_catalog!$A:$K,11,0),0)</f>
        <v>1.2</v>
      </c>
      <c r="S168" s="73">
        <f>IFERROR(VLOOKUP(M168,plan_catalog!$A:$L,12,0),1)</f>
        <v>1.4</v>
      </c>
      <c r="T168" s="74">
        <f t="shared" si="27"/>
        <v>1.2</v>
      </c>
      <c r="U168" s="69">
        <f t="shared" si="28"/>
        <v>3360</v>
      </c>
      <c r="V168" s="57">
        <f t="shared" si="29"/>
        <v>8776.6666666666679</v>
      </c>
    </row>
    <row r="169" spans="1:22" ht="15" customHeight="1" x14ac:dyDescent="0.35">
      <c r="A169" s="64">
        <v>165</v>
      </c>
      <c r="B169" s="25" t="s">
        <v>177</v>
      </c>
      <c r="C169" s="25">
        <v>7</v>
      </c>
      <c r="D169" s="52" t="str">
        <f>VLOOKUP(B169,rep_roster!$A:$B,2,0)</f>
        <v>Amy Chen</v>
      </c>
      <c r="E169" s="61" t="str">
        <f>VLOOKUP(B169,rep_roster!$A:$C,3,0)</f>
        <v>AE</v>
      </c>
      <c r="F169" s="61" t="str">
        <f>VLOOKUP(B169,rep_roster!$A:$D,4,0)</f>
        <v>SMB</v>
      </c>
      <c r="G169" s="61" t="str">
        <f>INDEX({"Jan","Feb","Mar","Apr","May","Jun","Jul","Aug","Sep","Oct","Nov","Dec"},C169)</f>
        <v>Jul</v>
      </c>
      <c r="H169" s="64">
        <v>2025</v>
      </c>
      <c r="I169" s="53">
        <f>IFERROR(VLOOKUP(E169&amp;"_"&amp;F169,plan_catalog!$A:$D,4,0)/12,0)</f>
        <v>5416.666666666667</v>
      </c>
      <c r="J169" s="38">
        <v>25000</v>
      </c>
      <c r="K169" s="38">
        <v>22000</v>
      </c>
      <c r="L169" s="62">
        <f t="shared" si="25"/>
        <v>0.88</v>
      </c>
      <c r="M169" s="52" t="str">
        <f>IFERROR(VLOOKUP(B169,rep_roster!$A:$L,12,0),E169&amp;"_"&amp;F169)</f>
        <v>AE_SMB</v>
      </c>
      <c r="N169" s="66">
        <f>IFERROR(VLOOKUP(M169,plan_catalog!$A:$G,7,0),0)</f>
        <v>0.1</v>
      </c>
      <c r="O169" s="53">
        <f t="shared" si="26"/>
        <v>2200</v>
      </c>
      <c r="P169" s="66">
        <f>IFERROR(VLOOKUP(M169,plan_catalog!$A:$I,9,0),0)</f>
        <v>1</v>
      </c>
      <c r="Q169" s="67">
        <f>IFERROR(VLOOKUP(M169,plan_catalog!$A:$J,10,0),1)</f>
        <v>1.2</v>
      </c>
      <c r="R169" s="66">
        <f>IFERROR(VLOOKUP(M169,plan_catalog!$A:$K,11,0),0)</f>
        <v>1.2</v>
      </c>
      <c r="S169" s="67">
        <f>IFERROR(VLOOKUP(M169,plan_catalog!$A:$L,12,0),1)</f>
        <v>1.4</v>
      </c>
      <c r="T169" s="68">
        <f t="shared" si="27"/>
        <v>1</v>
      </c>
      <c r="U169" s="69">
        <f t="shared" si="28"/>
        <v>2200</v>
      </c>
      <c r="V169" s="57">
        <f t="shared" si="29"/>
        <v>7616.666666666667</v>
      </c>
    </row>
    <row r="170" spans="1:22" ht="15" customHeight="1" x14ac:dyDescent="0.35">
      <c r="A170" s="70">
        <v>166</v>
      </c>
      <c r="B170" s="22" t="s">
        <v>177</v>
      </c>
      <c r="C170" s="22">
        <v>8</v>
      </c>
      <c r="D170" s="49" t="str">
        <f>VLOOKUP(B170,rep_roster!$A:$B,2,0)</f>
        <v>Amy Chen</v>
      </c>
      <c r="E170" s="58" t="str">
        <f>VLOOKUP(B170,rep_roster!$A:$C,3,0)</f>
        <v>AE</v>
      </c>
      <c r="F170" s="58" t="str">
        <f>VLOOKUP(B170,rep_roster!$A:$D,4,0)</f>
        <v>SMB</v>
      </c>
      <c r="G170" s="58" t="str">
        <f>INDEX({"Jan","Feb","Mar","Apr","May","Jun","Jul","Aug","Sep","Oct","Nov","Dec"},C170)</f>
        <v>Aug</v>
      </c>
      <c r="H170" s="70">
        <v>2025</v>
      </c>
      <c r="I170" s="50">
        <f>IFERROR(VLOOKUP(E170&amp;"_"&amp;F170,plan_catalog!$A:$D,4,0)/12,0)</f>
        <v>5416.666666666667</v>
      </c>
      <c r="J170" s="32">
        <v>25000</v>
      </c>
      <c r="K170" s="32">
        <v>20000</v>
      </c>
      <c r="L170" s="59">
        <f t="shared" si="25"/>
        <v>0.8</v>
      </c>
      <c r="M170" s="49" t="str">
        <f>IFERROR(VLOOKUP(B170,rep_roster!$A:$L,12,0),E170&amp;"_"&amp;F170)</f>
        <v>AE_SMB</v>
      </c>
      <c r="N170" s="72">
        <f>IFERROR(VLOOKUP(M170,plan_catalog!$A:$G,7,0),0)</f>
        <v>0.1</v>
      </c>
      <c r="O170" s="50">
        <f t="shared" si="26"/>
        <v>2000</v>
      </c>
      <c r="P170" s="72">
        <f>IFERROR(VLOOKUP(M170,plan_catalog!$A:$I,9,0),0)</f>
        <v>1</v>
      </c>
      <c r="Q170" s="73">
        <f>IFERROR(VLOOKUP(M170,plan_catalog!$A:$J,10,0),1)</f>
        <v>1.2</v>
      </c>
      <c r="R170" s="72">
        <f>IFERROR(VLOOKUP(M170,plan_catalog!$A:$K,11,0),0)</f>
        <v>1.2</v>
      </c>
      <c r="S170" s="73">
        <f>IFERROR(VLOOKUP(M170,plan_catalog!$A:$L,12,0),1)</f>
        <v>1.4</v>
      </c>
      <c r="T170" s="74">
        <f t="shared" si="27"/>
        <v>1</v>
      </c>
      <c r="U170" s="69">
        <f t="shared" si="28"/>
        <v>2000</v>
      </c>
      <c r="V170" s="57">
        <f t="shared" si="29"/>
        <v>7416.666666666667</v>
      </c>
    </row>
    <row r="171" spans="1:22" ht="15" customHeight="1" x14ac:dyDescent="0.35">
      <c r="A171" s="64">
        <v>167</v>
      </c>
      <c r="B171" s="25" t="s">
        <v>177</v>
      </c>
      <c r="C171" s="25">
        <v>9</v>
      </c>
      <c r="D171" s="52" t="str">
        <f>VLOOKUP(B171,rep_roster!$A:$B,2,0)</f>
        <v>Amy Chen</v>
      </c>
      <c r="E171" s="61" t="str">
        <f>VLOOKUP(B171,rep_roster!$A:$C,3,0)</f>
        <v>AE</v>
      </c>
      <c r="F171" s="61" t="str">
        <f>VLOOKUP(B171,rep_roster!$A:$D,4,0)</f>
        <v>SMB</v>
      </c>
      <c r="G171" s="61" t="str">
        <f>INDEX({"Jan","Feb","Mar","Apr","May","Jun","Jul","Aug","Sep","Oct","Nov","Dec"},C171)</f>
        <v>Sep</v>
      </c>
      <c r="H171" s="64">
        <v>2025</v>
      </c>
      <c r="I171" s="53">
        <f>IFERROR(VLOOKUP(E171&amp;"_"&amp;F171,plan_catalog!$A:$D,4,0)/12,0)</f>
        <v>5416.666666666667</v>
      </c>
      <c r="J171" s="38">
        <v>25000</v>
      </c>
      <c r="K171" s="38">
        <v>25000</v>
      </c>
      <c r="L171" s="62">
        <f t="shared" si="25"/>
        <v>1</v>
      </c>
      <c r="M171" s="52" t="str">
        <f>IFERROR(VLOOKUP(B171,rep_roster!$A:$L,12,0),E171&amp;"_"&amp;F171)</f>
        <v>AE_SMB</v>
      </c>
      <c r="N171" s="66">
        <f>IFERROR(VLOOKUP(M171,plan_catalog!$A:$G,7,0),0)</f>
        <v>0.1</v>
      </c>
      <c r="O171" s="53">
        <f t="shared" si="26"/>
        <v>2500</v>
      </c>
      <c r="P171" s="66">
        <f>IFERROR(VLOOKUP(M171,plan_catalog!$A:$I,9,0),0)</f>
        <v>1</v>
      </c>
      <c r="Q171" s="67">
        <f>IFERROR(VLOOKUP(M171,plan_catalog!$A:$J,10,0),1)</f>
        <v>1.2</v>
      </c>
      <c r="R171" s="66">
        <f>IFERROR(VLOOKUP(M171,plan_catalog!$A:$K,11,0),0)</f>
        <v>1.2</v>
      </c>
      <c r="S171" s="67">
        <f>IFERROR(VLOOKUP(M171,plan_catalog!$A:$L,12,0),1)</f>
        <v>1.4</v>
      </c>
      <c r="T171" s="68">
        <f t="shared" si="27"/>
        <v>1.2</v>
      </c>
      <c r="U171" s="69">
        <f t="shared" si="28"/>
        <v>3000</v>
      </c>
      <c r="V171" s="57">
        <f t="shared" si="29"/>
        <v>8416.6666666666679</v>
      </c>
    </row>
    <row r="172" spans="1:22" ht="15" customHeight="1" x14ac:dyDescent="0.35">
      <c r="A172" s="70">
        <v>168</v>
      </c>
      <c r="B172" s="22" t="s">
        <v>177</v>
      </c>
      <c r="C172" s="22">
        <v>10</v>
      </c>
      <c r="D172" s="49" t="str">
        <f>VLOOKUP(B172,rep_roster!$A:$B,2,0)</f>
        <v>Amy Chen</v>
      </c>
      <c r="E172" s="58" t="str">
        <f>VLOOKUP(B172,rep_roster!$A:$C,3,0)</f>
        <v>AE</v>
      </c>
      <c r="F172" s="58" t="str">
        <f>VLOOKUP(B172,rep_roster!$A:$D,4,0)</f>
        <v>SMB</v>
      </c>
      <c r="G172" s="58" t="str">
        <f>INDEX({"Jan","Feb","Mar","Apr","May","Jun","Jul","Aug","Sep","Oct","Nov","Dec"},C172)</f>
        <v>Oct</v>
      </c>
      <c r="H172" s="70">
        <v>2025</v>
      </c>
      <c r="I172" s="50">
        <f>IFERROR(VLOOKUP(E172&amp;"_"&amp;F172,plan_catalog!$A:$D,4,0)/12,0)</f>
        <v>5416.666666666667</v>
      </c>
      <c r="J172" s="32">
        <v>25000</v>
      </c>
      <c r="K172" s="32">
        <v>19000</v>
      </c>
      <c r="L172" s="59">
        <f t="shared" si="25"/>
        <v>0.76</v>
      </c>
      <c r="M172" s="49" t="str">
        <f>IFERROR(VLOOKUP(B172,rep_roster!$A:$L,12,0),E172&amp;"_"&amp;F172)</f>
        <v>AE_SMB</v>
      </c>
      <c r="N172" s="72">
        <f>IFERROR(VLOOKUP(M172,plan_catalog!$A:$G,7,0),0)</f>
        <v>0.1</v>
      </c>
      <c r="O172" s="50">
        <f t="shared" si="26"/>
        <v>1900</v>
      </c>
      <c r="P172" s="72">
        <f>IFERROR(VLOOKUP(M172,plan_catalog!$A:$I,9,0),0)</f>
        <v>1</v>
      </c>
      <c r="Q172" s="73">
        <f>IFERROR(VLOOKUP(M172,plan_catalog!$A:$J,10,0),1)</f>
        <v>1.2</v>
      </c>
      <c r="R172" s="72">
        <f>IFERROR(VLOOKUP(M172,plan_catalog!$A:$K,11,0),0)</f>
        <v>1.2</v>
      </c>
      <c r="S172" s="73">
        <f>IFERROR(VLOOKUP(M172,plan_catalog!$A:$L,12,0),1)</f>
        <v>1.4</v>
      </c>
      <c r="T172" s="74">
        <f t="shared" si="27"/>
        <v>1</v>
      </c>
      <c r="U172" s="69">
        <f t="shared" si="28"/>
        <v>1900</v>
      </c>
      <c r="V172" s="57">
        <f t="shared" si="29"/>
        <v>7316.666666666667</v>
      </c>
    </row>
    <row r="173" spans="1:22" ht="15" customHeight="1" x14ac:dyDescent="0.35">
      <c r="A173" s="64">
        <v>169</v>
      </c>
      <c r="B173" s="25" t="s">
        <v>177</v>
      </c>
      <c r="C173" s="25">
        <v>11</v>
      </c>
      <c r="D173" s="52" t="str">
        <f>VLOOKUP(B173,rep_roster!$A:$B,2,0)</f>
        <v>Amy Chen</v>
      </c>
      <c r="E173" s="61" t="str">
        <f>VLOOKUP(B173,rep_roster!$A:$C,3,0)</f>
        <v>AE</v>
      </c>
      <c r="F173" s="61" t="str">
        <f>VLOOKUP(B173,rep_roster!$A:$D,4,0)</f>
        <v>SMB</v>
      </c>
      <c r="G173" s="61" t="str">
        <f>INDEX({"Jan","Feb","Mar","Apr","May","Jun","Jul","Aug","Sep","Oct","Nov","Dec"},C173)</f>
        <v>Nov</v>
      </c>
      <c r="H173" s="64">
        <v>2025</v>
      </c>
      <c r="I173" s="53">
        <f>IFERROR(VLOOKUP(E173&amp;"_"&amp;F173,plan_catalog!$A:$D,4,0)/12,0)</f>
        <v>5416.666666666667</v>
      </c>
      <c r="J173" s="38">
        <v>25000</v>
      </c>
      <c r="K173" s="38">
        <v>22000</v>
      </c>
      <c r="L173" s="62">
        <f t="shared" si="25"/>
        <v>0.88</v>
      </c>
      <c r="M173" s="52" t="str">
        <f>IFERROR(VLOOKUP(B173,rep_roster!$A:$L,12,0),E173&amp;"_"&amp;F173)</f>
        <v>AE_SMB</v>
      </c>
      <c r="N173" s="66">
        <f>IFERROR(VLOOKUP(M173,plan_catalog!$A:$G,7,0),0)</f>
        <v>0.1</v>
      </c>
      <c r="O173" s="53">
        <f t="shared" si="26"/>
        <v>2200</v>
      </c>
      <c r="P173" s="66">
        <f>IFERROR(VLOOKUP(M173,plan_catalog!$A:$I,9,0),0)</f>
        <v>1</v>
      </c>
      <c r="Q173" s="67">
        <f>IFERROR(VLOOKUP(M173,plan_catalog!$A:$J,10,0),1)</f>
        <v>1.2</v>
      </c>
      <c r="R173" s="66">
        <f>IFERROR(VLOOKUP(M173,plan_catalog!$A:$K,11,0),0)</f>
        <v>1.2</v>
      </c>
      <c r="S173" s="67">
        <f>IFERROR(VLOOKUP(M173,plan_catalog!$A:$L,12,0),1)</f>
        <v>1.4</v>
      </c>
      <c r="T173" s="68">
        <f t="shared" si="27"/>
        <v>1</v>
      </c>
      <c r="U173" s="69">
        <f t="shared" si="28"/>
        <v>2200</v>
      </c>
      <c r="V173" s="57">
        <f t="shared" si="29"/>
        <v>7616.666666666667</v>
      </c>
    </row>
    <row r="174" spans="1:22" ht="15" customHeight="1" x14ac:dyDescent="0.35">
      <c r="A174" s="70">
        <v>170</v>
      </c>
      <c r="B174" s="22" t="s">
        <v>177</v>
      </c>
      <c r="C174" s="22">
        <v>12</v>
      </c>
      <c r="D174" s="49" t="str">
        <f>VLOOKUP(B174,rep_roster!$A:$B,2,0)</f>
        <v>Amy Chen</v>
      </c>
      <c r="E174" s="58" t="str">
        <f>VLOOKUP(B174,rep_roster!$A:$C,3,0)</f>
        <v>AE</v>
      </c>
      <c r="F174" s="58" t="str">
        <f>VLOOKUP(B174,rep_roster!$A:$D,4,0)</f>
        <v>SMB</v>
      </c>
      <c r="G174" s="58" t="str">
        <f>INDEX({"Jan","Feb","Mar","Apr","May","Jun","Jul","Aug","Sep","Oct","Nov","Dec"},C174)</f>
        <v>Dec</v>
      </c>
      <c r="H174" s="70">
        <v>2025</v>
      </c>
      <c r="I174" s="50">
        <f>IFERROR(VLOOKUP(E174&amp;"_"&amp;F174,plan_catalog!$A:$D,4,0)/12,0)</f>
        <v>5416.666666666667</v>
      </c>
      <c r="J174" s="32">
        <v>25000</v>
      </c>
      <c r="K174" s="32">
        <v>28000</v>
      </c>
      <c r="L174" s="59">
        <f t="shared" si="25"/>
        <v>1.1200000000000001</v>
      </c>
      <c r="M174" s="49" t="str">
        <f>IFERROR(VLOOKUP(B174,rep_roster!$A:$L,12,0),E174&amp;"_"&amp;F174)</f>
        <v>AE_SMB</v>
      </c>
      <c r="N174" s="72">
        <f>IFERROR(VLOOKUP(M174,plan_catalog!$A:$G,7,0),0)</f>
        <v>0.1</v>
      </c>
      <c r="O174" s="50">
        <f t="shared" si="26"/>
        <v>2800</v>
      </c>
      <c r="P174" s="72">
        <f>IFERROR(VLOOKUP(M174,plan_catalog!$A:$I,9,0),0)</f>
        <v>1</v>
      </c>
      <c r="Q174" s="73">
        <f>IFERROR(VLOOKUP(M174,plan_catalog!$A:$J,10,0),1)</f>
        <v>1.2</v>
      </c>
      <c r="R174" s="72">
        <f>IFERROR(VLOOKUP(M174,plan_catalog!$A:$K,11,0),0)</f>
        <v>1.2</v>
      </c>
      <c r="S174" s="73">
        <f>IFERROR(VLOOKUP(M174,plan_catalog!$A:$L,12,0),1)</f>
        <v>1.4</v>
      </c>
      <c r="T174" s="74">
        <f t="shared" si="27"/>
        <v>1.2</v>
      </c>
      <c r="U174" s="69">
        <f t="shared" si="28"/>
        <v>3360</v>
      </c>
      <c r="V174" s="57">
        <f t="shared" si="29"/>
        <v>8776.6666666666679</v>
      </c>
    </row>
    <row r="175" spans="1:22" ht="15" customHeight="1" x14ac:dyDescent="0.35">
      <c r="A175" s="64">
        <v>171</v>
      </c>
      <c r="B175" s="25" t="s">
        <v>179</v>
      </c>
      <c r="C175" s="25">
        <v>1</v>
      </c>
      <c r="D175" s="52" t="str">
        <f>VLOOKUP(B175,rep_roster!$A:$B,2,0)</f>
        <v>Jennifer Walsh</v>
      </c>
      <c r="E175" s="61" t="str">
        <f>VLOOKUP(B175,rep_roster!$A:$C,3,0)</f>
        <v>CSM</v>
      </c>
      <c r="F175" s="61" t="str">
        <f>VLOOKUP(B175,rep_roster!$A:$D,4,0)</f>
        <v>SMB</v>
      </c>
      <c r="G175" s="61" t="str">
        <f>INDEX({"Jan","Feb","Mar","Apr","May","Jun","Jul","Aug","Sep","Oct","Nov","Dec"},C175)</f>
        <v>Jan</v>
      </c>
      <c r="H175" s="64">
        <v>2025</v>
      </c>
      <c r="I175" s="53">
        <f>IFERROR(VLOOKUP(E175&amp;"_"&amp;F175,plan_catalog!$A:$D,4,0)/12,0)</f>
        <v>5000</v>
      </c>
      <c r="J175" s="38">
        <v>5000</v>
      </c>
      <c r="K175" s="38">
        <v>7000</v>
      </c>
      <c r="L175" s="62">
        <f t="shared" si="25"/>
        <v>1.4</v>
      </c>
      <c r="M175" s="52" t="str">
        <f>IFERROR(VLOOKUP(B175,rep_roster!$A:$L,12,0),E175&amp;"_"&amp;F175)</f>
        <v>CSM_SMB</v>
      </c>
      <c r="N175" s="66">
        <f>IFERROR(VLOOKUP(M175,plan_catalog!$A:$G,7,0),0)</f>
        <v>0.06</v>
      </c>
      <c r="O175" s="53">
        <f t="shared" si="26"/>
        <v>420</v>
      </c>
      <c r="P175" s="66">
        <f>IFERROR(VLOOKUP(M175,plan_catalog!$A:$I,9,0),0)</f>
        <v>1.05</v>
      </c>
      <c r="Q175" s="67">
        <f>IFERROR(VLOOKUP(M175,plan_catalog!$A:$J,10,0),1)</f>
        <v>1.1499999999999999</v>
      </c>
      <c r="R175" s="66" t="str">
        <f>IFERROR(VLOOKUP(M175,plan_catalog!$A:$K,11,0),0)</f>
        <v>—</v>
      </c>
      <c r="S175" s="67" t="str">
        <f>IFERROR(VLOOKUP(M175,plan_catalog!$A:$L,12,0),1)</f>
        <v>—</v>
      </c>
      <c r="T175" s="68">
        <f t="shared" si="27"/>
        <v>1.1499999999999999</v>
      </c>
      <c r="U175" s="69">
        <f t="shared" si="28"/>
        <v>482.99999999999994</v>
      </c>
      <c r="V175" s="57">
        <f t="shared" si="29"/>
        <v>5483</v>
      </c>
    </row>
    <row r="176" spans="1:22" ht="15" customHeight="1" x14ac:dyDescent="0.35">
      <c r="A176" s="70">
        <v>172</v>
      </c>
      <c r="B176" s="22" t="s">
        <v>179</v>
      </c>
      <c r="C176" s="22">
        <v>2</v>
      </c>
      <c r="D176" s="49" t="str">
        <f>VLOOKUP(B176,rep_roster!$A:$B,2,0)</f>
        <v>Jennifer Walsh</v>
      </c>
      <c r="E176" s="58" t="str">
        <f>VLOOKUP(B176,rep_roster!$A:$C,3,0)</f>
        <v>CSM</v>
      </c>
      <c r="F176" s="58" t="str">
        <f>VLOOKUP(B176,rep_roster!$A:$D,4,0)</f>
        <v>SMB</v>
      </c>
      <c r="G176" s="58" t="str">
        <f>INDEX({"Jan","Feb","Mar","Apr","May","Jun","Jul","Aug","Sep","Oct","Nov","Dec"},C176)</f>
        <v>Feb</v>
      </c>
      <c r="H176" s="70">
        <v>2025</v>
      </c>
      <c r="I176" s="50">
        <f>IFERROR(VLOOKUP(E176&amp;"_"&amp;F176,plan_catalog!$A:$D,4,0)/12,0)</f>
        <v>5000</v>
      </c>
      <c r="J176" s="32">
        <v>5000</v>
      </c>
      <c r="K176" s="32">
        <v>6000</v>
      </c>
      <c r="L176" s="59">
        <f t="shared" si="25"/>
        <v>1.2</v>
      </c>
      <c r="M176" s="49" t="str">
        <f>IFERROR(VLOOKUP(B176,rep_roster!$A:$L,12,0),E176&amp;"_"&amp;F176)</f>
        <v>CSM_SMB</v>
      </c>
      <c r="N176" s="72">
        <f>IFERROR(VLOOKUP(M176,plan_catalog!$A:$G,7,0),0)</f>
        <v>0.06</v>
      </c>
      <c r="O176" s="50">
        <f t="shared" si="26"/>
        <v>360</v>
      </c>
      <c r="P176" s="72">
        <f>IFERROR(VLOOKUP(M176,plan_catalog!$A:$I,9,0),0)</f>
        <v>1.05</v>
      </c>
      <c r="Q176" s="73">
        <f>IFERROR(VLOOKUP(M176,plan_catalog!$A:$J,10,0),1)</f>
        <v>1.1499999999999999</v>
      </c>
      <c r="R176" s="72" t="str">
        <f>IFERROR(VLOOKUP(M176,plan_catalog!$A:$K,11,0),0)</f>
        <v>—</v>
      </c>
      <c r="S176" s="73" t="str">
        <f>IFERROR(VLOOKUP(M176,plan_catalog!$A:$L,12,0),1)</f>
        <v>—</v>
      </c>
      <c r="T176" s="74">
        <f t="shared" si="27"/>
        <v>1.1499999999999999</v>
      </c>
      <c r="U176" s="69">
        <f t="shared" si="28"/>
        <v>413.99999999999994</v>
      </c>
      <c r="V176" s="57">
        <f t="shared" si="29"/>
        <v>5414</v>
      </c>
    </row>
    <row r="177" spans="1:22" ht="15" customHeight="1" x14ac:dyDescent="0.35">
      <c r="A177" s="64">
        <v>173</v>
      </c>
      <c r="B177" s="25" t="s">
        <v>179</v>
      </c>
      <c r="C177" s="25">
        <v>3</v>
      </c>
      <c r="D177" s="52" t="str">
        <f>VLOOKUP(B177,rep_roster!$A:$B,2,0)</f>
        <v>Jennifer Walsh</v>
      </c>
      <c r="E177" s="61" t="str">
        <f>VLOOKUP(B177,rep_roster!$A:$C,3,0)</f>
        <v>CSM</v>
      </c>
      <c r="F177" s="61" t="str">
        <f>VLOOKUP(B177,rep_roster!$A:$D,4,0)</f>
        <v>SMB</v>
      </c>
      <c r="G177" s="61" t="str">
        <f>INDEX({"Jan","Feb","Mar","Apr","May","Jun","Jul","Aug","Sep","Oct","Nov","Dec"},C177)</f>
        <v>Mar</v>
      </c>
      <c r="H177" s="64">
        <v>2025</v>
      </c>
      <c r="I177" s="53">
        <f>IFERROR(VLOOKUP(E177&amp;"_"&amp;F177,plan_catalog!$A:$D,4,0)/12,0)</f>
        <v>5000</v>
      </c>
      <c r="J177" s="38">
        <v>5000</v>
      </c>
      <c r="K177" s="38">
        <v>8000</v>
      </c>
      <c r="L177" s="62">
        <f t="shared" si="25"/>
        <v>1.6</v>
      </c>
      <c r="M177" s="52" t="str">
        <f>IFERROR(VLOOKUP(B177,rep_roster!$A:$L,12,0),E177&amp;"_"&amp;F177)</f>
        <v>CSM_SMB</v>
      </c>
      <c r="N177" s="66">
        <f>IFERROR(VLOOKUP(M177,plan_catalog!$A:$G,7,0),0)</f>
        <v>0.06</v>
      </c>
      <c r="O177" s="53">
        <f t="shared" si="26"/>
        <v>480</v>
      </c>
      <c r="P177" s="66">
        <f>IFERROR(VLOOKUP(M177,plan_catalog!$A:$I,9,0),0)</f>
        <v>1.05</v>
      </c>
      <c r="Q177" s="67">
        <f>IFERROR(VLOOKUP(M177,plan_catalog!$A:$J,10,0),1)</f>
        <v>1.1499999999999999</v>
      </c>
      <c r="R177" s="66" t="str">
        <f>IFERROR(VLOOKUP(M177,plan_catalog!$A:$K,11,0),0)</f>
        <v>—</v>
      </c>
      <c r="S177" s="67" t="str">
        <f>IFERROR(VLOOKUP(M177,plan_catalog!$A:$L,12,0),1)</f>
        <v>—</v>
      </c>
      <c r="T177" s="68">
        <f t="shared" si="27"/>
        <v>1.1499999999999999</v>
      </c>
      <c r="U177" s="69">
        <f t="shared" si="28"/>
        <v>552</v>
      </c>
      <c r="V177" s="57">
        <f t="shared" si="29"/>
        <v>5552</v>
      </c>
    </row>
    <row r="178" spans="1:22" ht="15" customHeight="1" x14ac:dyDescent="0.35">
      <c r="A178" s="70">
        <v>174</v>
      </c>
      <c r="B178" s="22" t="s">
        <v>179</v>
      </c>
      <c r="C178" s="22">
        <v>4</v>
      </c>
      <c r="D178" s="49" t="str">
        <f>VLOOKUP(B178,rep_roster!$A:$B,2,0)</f>
        <v>Jennifer Walsh</v>
      </c>
      <c r="E178" s="58" t="str">
        <f>VLOOKUP(B178,rep_roster!$A:$C,3,0)</f>
        <v>CSM</v>
      </c>
      <c r="F178" s="58" t="str">
        <f>VLOOKUP(B178,rep_roster!$A:$D,4,0)</f>
        <v>SMB</v>
      </c>
      <c r="G178" s="58" t="str">
        <f>INDEX({"Jan","Feb","Mar","Apr","May","Jun","Jul","Aug","Sep","Oct","Nov","Dec"},C178)</f>
        <v>Apr</v>
      </c>
      <c r="H178" s="70">
        <v>2025</v>
      </c>
      <c r="I178" s="50">
        <f>IFERROR(VLOOKUP(E178&amp;"_"&amp;F178,plan_catalog!$A:$D,4,0)/12,0)</f>
        <v>5000</v>
      </c>
      <c r="J178" s="32">
        <v>5000</v>
      </c>
      <c r="K178" s="32">
        <v>6000</v>
      </c>
      <c r="L178" s="59">
        <f t="shared" si="25"/>
        <v>1.2</v>
      </c>
      <c r="M178" s="49" t="str">
        <f>IFERROR(VLOOKUP(B178,rep_roster!$A:$L,12,0),E178&amp;"_"&amp;F178)</f>
        <v>CSM_SMB</v>
      </c>
      <c r="N178" s="72">
        <f>IFERROR(VLOOKUP(M178,plan_catalog!$A:$G,7,0),0)</f>
        <v>0.06</v>
      </c>
      <c r="O178" s="50">
        <f t="shared" si="26"/>
        <v>360</v>
      </c>
      <c r="P178" s="72">
        <f>IFERROR(VLOOKUP(M178,plan_catalog!$A:$I,9,0),0)</f>
        <v>1.05</v>
      </c>
      <c r="Q178" s="73">
        <f>IFERROR(VLOOKUP(M178,plan_catalog!$A:$J,10,0),1)</f>
        <v>1.1499999999999999</v>
      </c>
      <c r="R178" s="72" t="str">
        <f>IFERROR(VLOOKUP(M178,plan_catalog!$A:$K,11,0),0)</f>
        <v>—</v>
      </c>
      <c r="S178" s="73" t="str">
        <f>IFERROR(VLOOKUP(M178,plan_catalog!$A:$L,12,0),1)</f>
        <v>—</v>
      </c>
      <c r="T178" s="74">
        <f t="shared" si="27"/>
        <v>1.1499999999999999</v>
      </c>
      <c r="U178" s="69">
        <f t="shared" si="28"/>
        <v>413.99999999999994</v>
      </c>
      <c r="V178" s="57">
        <f t="shared" si="29"/>
        <v>5414</v>
      </c>
    </row>
    <row r="179" spans="1:22" ht="15" customHeight="1" x14ac:dyDescent="0.35">
      <c r="A179" s="64">
        <v>175</v>
      </c>
      <c r="B179" s="25" t="s">
        <v>179</v>
      </c>
      <c r="C179" s="25">
        <v>5</v>
      </c>
      <c r="D179" s="52" t="str">
        <f>VLOOKUP(B179,rep_roster!$A:$B,2,0)</f>
        <v>Jennifer Walsh</v>
      </c>
      <c r="E179" s="61" t="str">
        <f>VLOOKUP(B179,rep_roster!$A:$C,3,0)</f>
        <v>CSM</v>
      </c>
      <c r="F179" s="61" t="str">
        <f>VLOOKUP(B179,rep_roster!$A:$D,4,0)</f>
        <v>SMB</v>
      </c>
      <c r="G179" s="61" t="str">
        <f>INDEX({"Jan","Feb","Mar","Apr","May","Jun","Jul","Aug","Sep","Oct","Nov","Dec"},C179)</f>
        <v>May</v>
      </c>
      <c r="H179" s="64">
        <v>2025</v>
      </c>
      <c r="I179" s="53">
        <f>IFERROR(VLOOKUP(E179&amp;"_"&amp;F179,plan_catalog!$A:$D,4,0)/12,0)</f>
        <v>5000</v>
      </c>
      <c r="J179" s="38">
        <v>5000</v>
      </c>
      <c r="K179" s="38">
        <v>5500</v>
      </c>
      <c r="L179" s="62">
        <f t="shared" si="25"/>
        <v>1.1000000000000001</v>
      </c>
      <c r="M179" s="52" t="str">
        <f>IFERROR(VLOOKUP(B179,rep_roster!$A:$L,12,0),E179&amp;"_"&amp;F179)</f>
        <v>CSM_SMB</v>
      </c>
      <c r="N179" s="66">
        <f>IFERROR(VLOOKUP(M179,plan_catalog!$A:$G,7,0),0)</f>
        <v>0.06</v>
      </c>
      <c r="O179" s="53">
        <f t="shared" si="26"/>
        <v>330</v>
      </c>
      <c r="P179" s="66">
        <f>IFERROR(VLOOKUP(M179,plan_catalog!$A:$I,9,0),0)</f>
        <v>1.05</v>
      </c>
      <c r="Q179" s="67">
        <f>IFERROR(VLOOKUP(M179,plan_catalog!$A:$J,10,0),1)</f>
        <v>1.1499999999999999</v>
      </c>
      <c r="R179" s="66" t="str">
        <f>IFERROR(VLOOKUP(M179,plan_catalog!$A:$K,11,0),0)</f>
        <v>—</v>
      </c>
      <c r="S179" s="67" t="str">
        <f>IFERROR(VLOOKUP(M179,plan_catalog!$A:$L,12,0),1)</f>
        <v>—</v>
      </c>
      <c r="T179" s="68">
        <f t="shared" si="27"/>
        <v>1.1499999999999999</v>
      </c>
      <c r="U179" s="69">
        <f t="shared" si="28"/>
        <v>379.49999999999994</v>
      </c>
      <c r="V179" s="57">
        <f t="shared" si="29"/>
        <v>5379.5</v>
      </c>
    </row>
    <row r="180" spans="1:22" ht="15" customHeight="1" x14ac:dyDescent="0.35">
      <c r="A180" s="70">
        <v>176</v>
      </c>
      <c r="B180" s="22" t="s">
        <v>179</v>
      </c>
      <c r="C180" s="22">
        <v>6</v>
      </c>
      <c r="D180" s="49" t="str">
        <f>VLOOKUP(B180,rep_roster!$A:$B,2,0)</f>
        <v>Jennifer Walsh</v>
      </c>
      <c r="E180" s="58" t="str">
        <f>VLOOKUP(B180,rep_roster!$A:$C,3,0)</f>
        <v>CSM</v>
      </c>
      <c r="F180" s="58" t="str">
        <f>VLOOKUP(B180,rep_roster!$A:$D,4,0)</f>
        <v>SMB</v>
      </c>
      <c r="G180" s="58" t="str">
        <f>INDEX({"Jan","Feb","Mar","Apr","May","Jun","Jul","Aug","Sep","Oct","Nov","Dec"},C180)</f>
        <v>Jun</v>
      </c>
      <c r="H180" s="70">
        <v>2025</v>
      </c>
      <c r="I180" s="50">
        <f>IFERROR(VLOOKUP(E180&amp;"_"&amp;F180,plan_catalog!$A:$D,4,0)/12,0)</f>
        <v>5000</v>
      </c>
      <c r="J180" s="32">
        <v>5000</v>
      </c>
      <c r="K180" s="32">
        <v>6000</v>
      </c>
      <c r="L180" s="59">
        <f t="shared" si="25"/>
        <v>1.2</v>
      </c>
      <c r="M180" s="49" t="str">
        <f>IFERROR(VLOOKUP(B180,rep_roster!$A:$L,12,0),E180&amp;"_"&amp;F180)</f>
        <v>CSM_SMB</v>
      </c>
      <c r="N180" s="72">
        <f>IFERROR(VLOOKUP(M180,plan_catalog!$A:$G,7,0),0)</f>
        <v>0.06</v>
      </c>
      <c r="O180" s="50">
        <f t="shared" si="26"/>
        <v>360</v>
      </c>
      <c r="P180" s="72">
        <f>IFERROR(VLOOKUP(M180,plan_catalog!$A:$I,9,0),0)</f>
        <v>1.05</v>
      </c>
      <c r="Q180" s="73">
        <f>IFERROR(VLOOKUP(M180,plan_catalog!$A:$J,10,0),1)</f>
        <v>1.1499999999999999</v>
      </c>
      <c r="R180" s="72" t="str">
        <f>IFERROR(VLOOKUP(M180,plan_catalog!$A:$K,11,0),0)</f>
        <v>—</v>
      </c>
      <c r="S180" s="73" t="str">
        <f>IFERROR(VLOOKUP(M180,plan_catalog!$A:$L,12,0),1)</f>
        <v>—</v>
      </c>
      <c r="T180" s="74">
        <f t="shared" si="27"/>
        <v>1.1499999999999999</v>
      </c>
      <c r="U180" s="69">
        <f t="shared" si="28"/>
        <v>413.99999999999994</v>
      </c>
      <c r="V180" s="57">
        <f t="shared" si="29"/>
        <v>5414</v>
      </c>
    </row>
    <row r="181" spans="1:22" ht="15" customHeight="1" x14ac:dyDescent="0.35">
      <c r="A181" s="64">
        <v>177</v>
      </c>
      <c r="B181" s="25" t="s">
        <v>179</v>
      </c>
      <c r="C181" s="25">
        <v>7</v>
      </c>
      <c r="D181" s="52" t="str">
        <f>VLOOKUP(B181,rep_roster!$A:$B,2,0)</f>
        <v>Jennifer Walsh</v>
      </c>
      <c r="E181" s="61" t="str">
        <f>VLOOKUP(B181,rep_roster!$A:$C,3,0)</f>
        <v>CSM</v>
      </c>
      <c r="F181" s="61" t="str">
        <f>VLOOKUP(B181,rep_roster!$A:$D,4,0)</f>
        <v>SMB</v>
      </c>
      <c r="G181" s="61" t="str">
        <f>INDEX({"Jan","Feb","Mar","Apr","May","Jun","Jul","Aug","Sep","Oct","Nov","Dec"},C181)</f>
        <v>Jul</v>
      </c>
      <c r="H181" s="64">
        <v>2025</v>
      </c>
      <c r="I181" s="53">
        <f>IFERROR(VLOOKUP(E181&amp;"_"&amp;F181,plan_catalog!$A:$D,4,0)/12,0)</f>
        <v>5000</v>
      </c>
      <c r="J181" s="38">
        <v>5000</v>
      </c>
      <c r="K181" s="38">
        <v>4500</v>
      </c>
      <c r="L181" s="62">
        <f t="shared" si="25"/>
        <v>0.9</v>
      </c>
      <c r="M181" s="52" t="str">
        <f>IFERROR(VLOOKUP(B181,rep_roster!$A:$L,12,0),E181&amp;"_"&amp;F181)</f>
        <v>CSM_SMB</v>
      </c>
      <c r="N181" s="66">
        <f>IFERROR(VLOOKUP(M181,plan_catalog!$A:$G,7,0),0)</f>
        <v>0.06</v>
      </c>
      <c r="O181" s="53">
        <f t="shared" si="26"/>
        <v>270</v>
      </c>
      <c r="P181" s="66">
        <f>IFERROR(VLOOKUP(M181,plan_catalog!$A:$I,9,0),0)</f>
        <v>1.05</v>
      </c>
      <c r="Q181" s="67">
        <f>IFERROR(VLOOKUP(M181,plan_catalog!$A:$J,10,0),1)</f>
        <v>1.1499999999999999</v>
      </c>
      <c r="R181" s="66" t="str">
        <f>IFERROR(VLOOKUP(M181,plan_catalog!$A:$K,11,0),0)</f>
        <v>—</v>
      </c>
      <c r="S181" s="67" t="str">
        <f>IFERROR(VLOOKUP(M181,plan_catalog!$A:$L,12,0),1)</f>
        <v>—</v>
      </c>
      <c r="T181" s="68">
        <f t="shared" si="27"/>
        <v>1</v>
      </c>
      <c r="U181" s="69">
        <f t="shared" si="28"/>
        <v>270</v>
      </c>
      <c r="V181" s="57">
        <f t="shared" si="29"/>
        <v>5270</v>
      </c>
    </row>
    <row r="182" spans="1:22" ht="15" customHeight="1" x14ac:dyDescent="0.35">
      <c r="A182" s="70">
        <v>178</v>
      </c>
      <c r="B182" s="22" t="s">
        <v>179</v>
      </c>
      <c r="C182" s="22">
        <v>8</v>
      </c>
      <c r="D182" s="49" t="str">
        <f>VLOOKUP(B182,rep_roster!$A:$B,2,0)</f>
        <v>Jennifer Walsh</v>
      </c>
      <c r="E182" s="58" t="str">
        <f>VLOOKUP(B182,rep_roster!$A:$C,3,0)</f>
        <v>CSM</v>
      </c>
      <c r="F182" s="58" t="str">
        <f>VLOOKUP(B182,rep_roster!$A:$D,4,0)</f>
        <v>SMB</v>
      </c>
      <c r="G182" s="58" t="str">
        <f>INDEX({"Jan","Feb","Mar","Apr","May","Jun","Jul","Aug","Sep","Oct","Nov","Dec"},C182)</f>
        <v>Aug</v>
      </c>
      <c r="H182" s="70">
        <v>2025</v>
      </c>
      <c r="I182" s="50">
        <f>IFERROR(VLOOKUP(E182&amp;"_"&amp;F182,plan_catalog!$A:$D,4,0)/12,0)</f>
        <v>5000</v>
      </c>
      <c r="J182" s="32">
        <v>5000</v>
      </c>
      <c r="K182" s="32">
        <v>4000</v>
      </c>
      <c r="L182" s="59">
        <f t="shared" si="25"/>
        <v>0.8</v>
      </c>
      <c r="M182" s="49" t="str">
        <f>IFERROR(VLOOKUP(B182,rep_roster!$A:$L,12,0),E182&amp;"_"&amp;F182)</f>
        <v>CSM_SMB</v>
      </c>
      <c r="N182" s="72">
        <f>IFERROR(VLOOKUP(M182,plan_catalog!$A:$G,7,0),0)</f>
        <v>0.06</v>
      </c>
      <c r="O182" s="50">
        <f t="shared" si="26"/>
        <v>240</v>
      </c>
      <c r="P182" s="72">
        <f>IFERROR(VLOOKUP(M182,plan_catalog!$A:$I,9,0),0)</f>
        <v>1.05</v>
      </c>
      <c r="Q182" s="73">
        <f>IFERROR(VLOOKUP(M182,plan_catalog!$A:$J,10,0),1)</f>
        <v>1.1499999999999999</v>
      </c>
      <c r="R182" s="72" t="str">
        <f>IFERROR(VLOOKUP(M182,plan_catalog!$A:$K,11,0),0)</f>
        <v>—</v>
      </c>
      <c r="S182" s="73" t="str">
        <f>IFERROR(VLOOKUP(M182,plan_catalog!$A:$L,12,0),1)</f>
        <v>—</v>
      </c>
      <c r="T182" s="74">
        <f t="shared" si="27"/>
        <v>1</v>
      </c>
      <c r="U182" s="69">
        <f t="shared" si="28"/>
        <v>240</v>
      </c>
      <c r="V182" s="57">
        <f t="shared" si="29"/>
        <v>5240</v>
      </c>
    </row>
    <row r="183" spans="1:22" ht="15" customHeight="1" x14ac:dyDescent="0.35">
      <c r="A183" s="64">
        <v>179</v>
      </c>
      <c r="B183" s="25" t="s">
        <v>179</v>
      </c>
      <c r="C183" s="25">
        <v>9</v>
      </c>
      <c r="D183" s="52" t="str">
        <f>VLOOKUP(B183,rep_roster!$A:$B,2,0)</f>
        <v>Jennifer Walsh</v>
      </c>
      <c r="E183" s="61" t="str">
        <f>VLOOKUP(B183,rep_roster!$A:$C,3,0)</f>
        <v>CSM</v>
      </c>
      <c r="F183" s="61" t="str">
        <f>VLOOKUP(B183,rep_roster!$A:$D,4,0)</f>
        <v>SMB</v>
      </c>
      <c r="G183" s="61" t="str">
        <f>INDEX({"Jan","Feb","Mar","Apr","May","Jun","Jul","Aug","Sep","Oct","Nov","Dec"},C183)</f>
        <v>Sep</v>
      </c>
      <c r="H183" s="64">
        <v>2025</v>
      </c>
      <c r="I183" s="53">
        <f>IFERROR(VLOOKUP(E183&amp;"_"&amp;F183,plan_catalog!$A:$D,4,0)/12,0)</f>
        <v>5000</v>
      </c>
      <c r="J183" s="38">
        <v>5000</v>
      </c>
      <c r="K183" s="38">
        <v>4500</v>
      </c>
      <c r="L183" s="62">
        <f t="shared" si="25"/>
        <v>0.9</v>
      </c>
      <c r="M183" s="52" t="str">
        <f>IFERROR(VLOOKUP(B183,rep_roster!$A:$L,12,0),E183&amp;"_"&amp;F183)</f>
        <v>CSM_SMB</v>
      </c>
      <c r="N183" s="66">
        <f>IFERROR(VLOOKUP(M183,plan_catalog!$A:$G,7,0),0)</f>
        <v>0.06</v>
      </c>
      <c r="O183" s="53">
        <f t="shared" si="26"/>
        <v>270</v>
      </c>
      <c r="P183" s="66">
        <f>IFERROR(VLOOKUP(M183,plan_catalog!$A:$I,9,0),0)</f>
        <v>1.05</v>
      </c>
      <c r="Q183" s="67">
        <f>IFERROR(VLOOKUP(M183,plan_catalog!$A:$J,10,0),1)</f>
        <v>1.1499999999999999</v>
      </c>
      <c r="R183" s="66" t="str">
        <f>IFERROR(VLOOKUP(M183,plan_catalog!$A:$K,11,0),0)</f>
        <v>—</v>
      </c>
      <c r="S183" s="67" t="str">
        <f>IFERROR(VLOOKUP(M183,plan_catalog!$A:$L,12,0),1)</f>
        <v>—</v>
      </c>
      <c r="T183" s="68">
        <f t="shared" si="27"/>
        <v>1</v>
      </c>
      <c r="U183" s="69">
        <f t="shared" si="28"/>
        <v>270</v>
      </c>
      <c r="V183" s="57">
        <f t="shared" si="29"/>
        <v>5270</v>
      </c>
    </row>
    <row r="184" spans="1:22" ht="15" customHeight="1" x14ac:dyDescent="0.35">
      <c r="A184" s="70">
        <v>180</v>
      </c>
      <c r="B184" s="22" t="s">
        <v>179</v>
      </c>
      <c r="C184" s="22">
        <v>10</v>
      </c>
      <c r="D184" s="49" t="str">
        <f>VLOOKUP(B184,rep_roster!$A:$B,2,0)</f>
        <v>Jennifer Walsh</v>
      </c>
      <c r="E184" s="58" t="str">
        <f>VLOOKUP(B184,rep_roster!$A:$C,3,0)</f>
        <v>CSM</v>
      </c>
      <c r="F184" s="58" t="str">
        <f>VLOOKUP(B184,rep_roster!$A:$D,4,0)</f>
        <v>SMB</v>
      </c>
      <c r="G184" s="58" t="str">
        <f>INDEX({"Jan","Feb","Mar","Apr","May","Jun","Jul","Aug","Sep","Oct","Nov","Dec"},C184)</f>
        <v>Oct</v>
      </c>
      <c r="H184" s="70">
        <v>2025</v>
      </c>
      <c r="I184" s="50">
        <f>IFERROR(VLOOKUP(E184&amp;"_"&amp;F184,plan_catalog!$A:$D,4,0)/12,0)</f>
        <v>5000</v>
      </c>
      <c r="J184" s="32">
        <v>5000</v>
      </c>
      <c r="K184" s="32">
        <v>3500</v>
      </c>
      <c r="L184" s="59">
        <f t="shared" si="25"/>
        <v>0.7</v>
      </c>
      <c r="M184" s="49" t="str">
        <f>IFERROR(VLOOKUP(B184,rep_roster!$A:$L,12,0),E184&amp;"_"&amp;F184)</f>
        <v>CSM_SMB</v>
      </c>
      <c r="N184" s="72">
        <f>IFERROR(VLOOKUP(M184,plan_catalog!$A:$G,7,0),0)</f>
        <v>0.06</v>
      </c>
      <c r="O184" s="50">
        <f t="shared" si="26"/>
        <v>210</v>
      </c>
      <c r="P184" s="72">
        <f>IFERROR(VLOOKUP(M184,plan_catalog!$A:$I,9,0),0)</f>
        <v>1.05</v>
      </c>
      <c r="Q184" s="73">
        <f>IFERROR(VLOOKUP(M184,plan_catalog!$A:$J,10,0),1)</f>
        <v>1.1499999999999999</v>
      </c>
      <c r="R184" s="72" t="str">
        <f>IFERROR(VLOOKUP(M184,plan_catalog!$A:$K,11,0),0)</f>
        <v>—</v>
      </c>
      <c r="S184" s="73" t="str">
        <f>IFERROR(VLOOKUP(M184,plan_catalog!$A:$L,12,0),1)</f>
        <v>—</v>
      </c>
      <c r="T184" s="74">
        <f t="shared" si="27"/>
        <v>1</v>
      </c>
      <c r="U184" s="69">
        <f t="shared" si="28"/>
        <v>210</v>
      </c>
      <c r="V184" s="57">
        <f t="shared" si="29"/>
        <v>5210</v>
      </c>
    </row>
    <row r="185" spans="1:22" ht="15" customHeight="1" x14ac:dyDescent="0.35">
      <c r="A185" s="64">
        <v>181</v>
      </c>
      <c r="B185" s="25" t="s">
        <v>179</v>
      </c>
      <c r="C185" s="25">
        <v>11</v>
      </c>
      <c r="D185" s="52" t="str">
        <f>VLOOKUP(B185,rep_roster!$A:$B,2,0)</f>
        <v>Jennifer Walsh</v>
      </c>
      <c r="E185" s="61" t="str">
        <f>VLOOKUP(B185,rep_roster!$A:$C,3,0)</f>
        <v>CSM</v>
      </c>
      <c r="F185" s="61" t="str">
        <f>VLOOKUP(B185,rep_roster!$A:$D,4,0)</f>
        <v>SMB</v>
      </c>
      <c r="G185" s="61" t="str">
        <f>INDEX({"Jan","Feb","Mar","Apr","May","Jun","Jul","Aug","Sep","Oct","Nov","Dec"},C185)</f>
        <v>Nov</v>
      </c>
      <c r="H185" s="64">
        <v>2025</v>
      </c>
      <c r="I185" s="53">
        <f>IFERROR(VLOOKUP(E185&amp;"_"&amp;F185,plan_catalog!$A:$D,4,0)/12,0)</f>
        <v>5000</v>
      </c>
      <c r="J185" s="38">
        <v>5000</v>
      </c>
      <c r="K185" s="38">
        <v>4000</v>
      </c>
      <c r="L185" s="62">
        <f t="shared" si="25"/>
        <v>0.8</v>
      </c>
      <c r="M185" s="52" t="str">
        <f>IFERROR(VLOOKUP(B185,rep_roster!$A:$L,12,0),E185&amp;"_"&amp;F185)</f>
        <v>CSM_SMB</v>
      </c>
      <c r="N185" s="66">
        <f>IFERROR(VLOOKUP(M185,plan_catalog!$A:$G,7,0),0)</f>
        <v>0.06</v>
      </c>
      <c r="O185" s="53">
        <f t="shared" si="26"/>
        <v>240</v>
      </c>
      <c r="P185" s="66">
        <f>IFERROR(VLOOKUP(M185,plan_catalog!$A:$I,9,0),0)</f>
        <v>1.05</v>
      </c>
      <c r="Q185" s="67">
        <f>IFERROR(VLOOKUP(M185,plan_catalog!$A:$J,10,0),1)</f>
        <v>1.1499999999999999</v>
      </c>
      <c r="R185" s="66" t="str">
        <f>IFERROR(VLOOKUP(M185,plan_catalog!$A:$K,11,0),0)</f>
        <v>—</v>
      </c>
      <c r="S185" s="67" t="str">
        <f>IFERROR(VLOOKUP(M185,plan_catalog!$A:$L,12,0),1)</f>
        <v>—</v>
      </c>
      <c r="T185" s="68">
        <f t="shared" si="27"/>
        <v>1</v>
      </c>
      <c r="U185" s="69">
        <f t="shared" si="28"/>
        <v>240</v>
      </c>
      <c r="V185" s="57">
        <f t="shared" si="29"/>
        <v>5240</v>
      </c>
    </row>
    <row r="186" spans="1:22" ht="15" customHeight="1" x14ac:dyDescent="0.35">
      <c r="A186" s="70">
        <v>182</v>
      </c>
      <c r="B186" s="22" t="s">
        <v>179</v>
      </c>
      <c r="C186" s="22">
        <v>12</v>
      </c>
      <c r="D186" s="49" t="str">
        <f>VLOOKUP(B186,rep_roster!$A:$B,2,0)</f>
        <v>Jennifer Walsh</v>
      </c>
      <c r="E186" s="58" t="str">
        <f>VLOOKUP(B186,rep_roster!$A:$C,3,0)</f>
        <v>CSM</v>
      </c>
      <c r="F186" s="58" t="str">
        <f>VLOOKUP(B186,rep_roster!$A:$D,4,0)</f>
        <v>SMB</v>
      </c>
      <c r="G186" s="58" t="str">
        <f>INDEX({"Jan","Feb","Mar","Apr","May","Jun","Jul","Aug","Sep","Oct","Nov","Dec"},C186)</f>
        <v>Dec</v>
      </c>
      <c r="H186" s="70">
        <v>2025</v>
      </c>
      <c r="I186" s="50">
        <f>IFERROR(VLOOKUP(E186&amp;"_"&amp;F186,plan_catalog!$A:$D,4,0)/12,0)</f>
        <v>5000</v>
      </c>
      <c r="J186" s="32">
        <v>5000</v>
      </c>
      <c r="K186" s="32">
        <v>5000</v>
      </c>
      <c r="L186" s="59">
        <f t="shared" si="25"/>
        <v>1</v>
      </c>
      <c r="M186" s="49" t="str">
        <f>IFERROR(VLOOKUP(B186,rep_roster!$A:$L,12,0),E186&amp;"_"&amp;F186)</f>
        <v>CSM_SMB</v>
      </c>
      <c r="N186" s="72">
        <f>IFERROR(VLOOKUP(M186,plan_catalog!$A:$G,7,0),0)</f>
        <v>0.06</v>
      </c>
      <c r="O186" s="50">
        <f t="shared" si="26"/>
        <v>300</v>
      </c>
      <c r="P186" s="72">
        <f>IFERROR(VLOOKUP(M186,plan_catalog!$A:$I,9,0),0)</f>
        <v>1.05</v>
      </c>
      <c r="Q186" s="73">
        <f>IFERROR(VLOOKUP(M186,plan_catalog!$A:$J,10,0),1)</f>
        <v>1.1499999999999999</v>
      </c>
      <c r="R186" s="72" t="str">
        <f>IFERROR(VLOOKUP(M186,plan_catalog!$A:$K,11,0),0)</f>
        <v>—</v>
      </c>
      <c r="S186" s="73" t="str">
        <f>IFERROR(VLOOKUP(M186,plan_catalog!$A:$L,12,0),1)</f>
        <v>—</v>
      </c>
      <c r="T186" s="74">
        <f t="shared" si="27"/>
        <v>1</v>
      </c>
      <c r="U186" s="69">
        <f t="shared" si="28"/>
        <v>300</v>
      </c>
      <c r="V186" s="57">
        <f t="shared" si="29"/>
        <v>5300</v>
      </c>
    </row>
    <row r="187" spans="1:22" ht="15" customHeight="1" x14ac:dyDescent="0.35">
      <c r="A187" s="56" t="s">
        <v>181</v>
      </c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7">
        <f>SUM(O5:O186)</f>
        <v>531474</v>
      </c>
      <c r="P187" s="56"/>
      <c r="Q187" s="56"/>
      <c r="R187" s="56"/>
      <c r="S187" s="56"/>
      <c r="T187" s="56"/>
      <c r="U187" s="57">
        <f>SUM(U5:U186)</f>
        <v>637943.00000000012</v>
      </c>
      <c r="V187" s="57">
        <f>SUM(V5:V186)</f>
        <v>1675109.666666667</v>
      </c>
    </row>
  </sheetData>
  <mergeCells count="2">
    <mergeCell ref="A1:P1"/>
    <mergeCell ref="A2:P2"/>
  </mergeCells>
  <conditionalFormatting sqref="L5:L186">
    <cfRule type="colorScale" priority="2">
      <colorScale>
        <cfvo type="num" val="0"/>
        <cfvo type="num" val="1"/>
        <cfvo type="num" val="1.5"/>
        <color rgb="FFFADBD8"/>
        <color rgb="FFFFFFFF"/>
        <color rgb="FFD5F5E3"/>
      </colorScale>
    </cfRule>
  </conditionalFormatting>
  <conditionalFormatting sqref="T5:T186">
    <cfRule type="expression" dxfId="0" priority="3">
      <formula>$T5&gt;1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7AE60"/>
  </sheetPr>
  <dimension ref="A1:U23"/>
  <sheetViews>
    <sheetView showGridLines="0" zoomScaleNormal="100" workbookViewId="0">
      <pane ySplit="4" topLeftCell="A5" activePane="bottomLeft" state="frozen"/>
      <selection pane="bottomLeft" sqref="A1:R1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2" customWidth="1"/>
    <col min="4" max="20" width="14" customWidth="1"/>
    <col min="21" max="21" width="16" customWidth="1"/>
  </cols>
  <sheetData>
    <row r="1" spans="1:21" ht="30" customHeight="1" x14ac:dyDescent="0.35">
      <c r="A1" s="14" t="s">
        <v>219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21" ht="19.5" customHeight="1" x14ac:dyDescent="0.35">
      <c r="A2" s="13" t="s">
        <v>220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1" ht="6" customHeight="1" x14ac:dyDescent="0.35"/>
    <row r="4" spans="1:21" ht="15" customHeight="1" x14ac:dyDescent="0.35">
      <c r="A4" s="19" t="s">
        <v>117</v>
      </c>
      <c r="B4" s="19" t="s">
        <v>186</v>
      </c>
      <c r="C4" s="19" t="s">
        <v>70</v>
      </c>
      <c r="D4" s="19" t="s">
        <v>21</v>
      </c>
      <c r="E4" s="19" t="s">
        <v>221</v>
      </c>
      <c r="F4" s="19" t="s">
        <v>222</v>
      </c>
      <c r="G4" s="19" t="s">
        <v>223</v>
      </c>
      <c r="H4" s="19" t="s">
        <v>224</v>
      </c>
      <c r="I4" s="19" t="s">
        <v>225</v>
      </c>
      <c r="J4" s="19" t="s">
        <v>226</v>
      </c>
      <c r="K4" s="19" t="s">
        <v>227</v>
      </c>
      <c r="L4" s="19" t="s">
        <v>228</v>
      </c>
      <c r="M4" s="19" t="s">
        <v>229</v>
      </c>
      <c r="N4" s="19" t="s">
        <v>230</v>
      </c>
      <c r="O4" s="19" t="s">
        <v>231</v>
      </c>
      <c r="P4" s="19" t="s">
        <v>232</v>
      </c>
      <c r="Q4" s="19" t="s">
        <v>233</v>
      </c>
      <c r="R4" s="19" t="s">
        <v>234</v>
      </c>
      <c r="S4" s="19" t="s">
        <v>235</v>
      </c>
      <c r="T4" s="19" t="s">
        <v>236</v>
      </c>
      <c r="U4" s="56" t="s">
        <v>237</v>
      </c>
    </row>
    <row r="5" spans="1:21" ht="15" customHeight="1" x14ac:dyDescent="0.35">
      <c r="A5" s="22" t="s">
        <v>130</v>
      </c>
      <c r="B5" s="49" t="str">
        <f>VLOOKUP(A5,rep_roster!$A:$B,2,0)</f>
        <v>Marcus Williams</v>
      </c>
      <c r="C5" s="58" t="str">
        <f>VLOOKUP(A5,rep_roster!$A:$C,3,0)</f>
        <v>SDR</v>
      </c>
      <c r="D5" s="58" t="str">
        <f>VLOOKUP(A5,rep_roster!$A:$D,4,0)</f>
        <v>Enterprise</v>
      </c>
      <c r="E5" s="60">
        <f>SUMPRODUCT((commission_calc!$B$5:$B$186=A5)*(commission_calc!$C$5:$C$186&gt;=1)*(commission_calc!$C$5:$C$186&lt;=3)*commission_calc!$K$5:$K$186)</f>
        <v>26</v>
      </c>
      <c r="F5" s="60">
        <f>SUMPRODUCT((commission_calc!$B$5:$B$186=A5)*(commission_calc!$C$5:$C$186&gt;=1)*(commission_calc!$C$5:$C$186&lt;=3)*commission_calc!$J$5:$J$186)</f>
        <v>24</v>
      </c>
      <c r="G5" s="59">
        <f t="shared" ref="G5:G22" si="0">IF(F5&gt;0,E5/F5,0)</f>
        <v>1.0833333333333333</v>
      </c>
      <c r="H5" s="69">
        <f>IF(G5&gt;=1.2,3000,IF(G5&gt;=1,1500,IF(G5&gt;=0.8,750,0)))</f>
        <v>1500</v>
      </c>
      <c r="I5" s="60">
        <f>SUMPRODUCT((commission_calc!$B$5:$B$186=A5)*(commission_calc!$C$5:$C$186&gt;=4)*(commission_calc!$C$5:$C$186&lt;=6)*commission_calc!$K$5:$K$186)</f>
        <v>22</v>
      </c>
      <c r="J5" s="60">
        <f>SUMPRODUCT((commission_calc!$B$5:$B$186=A5)*(commission_calc!$C$5:$C$186&gt;=4)*(commission_calc!$C$5:$C$186&lt;=6)*commission_calc!$J$5:$J$186)</f>
        <v>24</v>
      </c>
      <c r="K5" s="59">
        <f t="shared" ref="K5:K22" si="1">IF(J5&gt;0,I5/J5,0)</f>
        <v>0.91666666666666663</v>
      </c>
      <c r="L5" s="69">
        <f>IF(K5&gt;=1.2,3000,IF(K5&gt;=1,1500,IF(K5&gt;=0.8,750,0)))</f>
        <v>750</v>
      </c>
      <c r="M5" s="60">
        <f>SUMPRODUCT((commission_calc!$B$5:$B$186=A5)*(commission_calc!$C$5:$C$186&gt;=7)*(commission_calc!$C$5:$C$186&lt;=9)*commission_calc!$K$5:$K$186)</f>
        <v>15</v>
      </c>
      <c r="N5" s="60">
        <f>SUMPRODUCT((commission_calc!$B$5:$B$186=A5)*(commission_calc!$C$5:$C$186&gt;=7)*(commission_calc!$C$5:$C$186&lt;=9)*commission_calc!$J$5:$J$186)</f>
        <v>24</v>
      </c>
      <c r="O5" s="59">
        <f t="shared" ref="O5:O22" si="2">IF(N5&gt;0,M5/N5,0)</f>
        <v>0.625</v>
      </c>
      <c r="P5" s="69">
        <f>IF(O5&gt;=1.2,3000,IF(O5&gt;=1,1500,IF(O5&gt;=0.8,750,0)))</f>
        <v>0</v>
      </c>
      <c r="Q5" s="60">
        <f>SUMPRODUCT((commission_calc!$B$5:$B$186=A5)*(commission_calc!$C$5:$C$186&gt;=10)*(commission_calc!$C$5:$C$186&lt;=12)*commission_calc!$K$5:$K$186)</f>
        <v>18</v>
      </c>
      <c r="R5" s="60">
        <f>SUMPRODUCT((commission_calc!$B$5:$B$186=A5)*(commission_calc!$C$5:$C$186&gt;=10)*(commission_calc!$C$5:$C$186&lt;=12)*commission_calc!$J$5:$J$186)</f>
        <v>24</v>
      </c>
      <c r="S5" s="59">
        <f t="shared" ref="S5:S22" si="3">IF(R5&gt;0,Q5/R5,0)</f>
        <v>0.75</v>
      </c>
      <c r="T5" s="69">
        <f>IF(S5&gt;=1.2,3000,IF(S5&gt;=1,1500,IF(S5&gt;=0.8,750,0)))</f>
        <v>0</v>
      </c>
      <c r="U5" s="57">
        <f t="shared" ref="U5:U22" si="4">H5+L5+P5+T5</f>
        <v>2250</v>
      </c>
    </row>
    <row r="6" spans="1:21" ht="15" customHeight="1" x14ac:dyDescent="0.35">
      <c r="A6" s="25" t="s">
        <v>134</v>
      </c>
      <c r="B6" s="52" t="str">
        <f>VLOOKUP(A6,rep_roster!$A:$B,2,0)</f>
        <v>James Harrington</v>
      </c>
      <c r="C6" s="61" t="str">
        <f>VLOOKUP(A6,rep_roster!$A:$C,3,0)</f>
        <v>AE</v>
      </c>
      <c r="D6" s="61" t="str">
        <f>VLOOKUP(A6,rep_roster!$A:$D,4,0)</f>
        <v>Enterprise</v>
      </c>
      <c r="E6" s="53">
        <f>SUMPRODUCT((commission_calc!$B$5:$B$186=A6)*(commission_calc!$C$5:$C$186&gt;=1)*(commission_calc!$C$5:$C$186&lt;=3)*commission_calc!$K$5:$K$186)</f>
        <v>288000</v>
      </c>
      <c r="F6" s="53">
        <f>SUMPRODUCT((commission_calc!$B$5:$B$186=A6)*(commission_calc!$C$5:$C$186&gt;=1)*(commission_calc!$C$5:$C$186&lt;=3)*commission_calc!$J$5:$J$186)</f>
        <v>225000</v>
      </c>
      <c r="G6" s="62">
        <f t="shared" si="0"/>
        <v>1.28</v>
      </c>
      <c r="H6" s="69">
        <f>IF(G6&gt;=1.2,10000,IF(G6&gt;=1,5000,IF(G6&gt;=0.8,2000,0)))</f>
        <v>10000</v>
      </c>
      <c r="I6" s="53">
        <f>SUMPRODUCT((commission_calc!$B$5:$B$186=A6)*(commission_calc!$C$5:$C$186&gt;=4)*(commission_calc!$C$5:$C$186&lt;=6)*commission_calc!$K$5:$K$186)</f>
        <v>247000</v>
      </c>
      <c r="J6" s="53">
        <f>SUMPRODUCT((commission_calc!$B$5:$B$186=A6)*(commission_calc!$C$5:$C$186&gt;=4)*(commission_calc!$C$5:$C$186&lt;=6)*commission_calc!$J$5:$J$186)</f>
        <v>225000</v>
      </c>
      <c r="K6" s="62">
        <f t="shared" si="1"/>
        <v>1.0977777777777777</v>
      </c>
      <c r="L6" s="69">
        <f>IF(K6&gt;=1.2,10000,IF(K6&gt;=1,5000,IF(K6&gt;=0.8,2000,0)))</f>
        <v>5000</v>
      </c>
      <c r="M6" s="53">
        <f>SUMPRODUCT((commission_calc!$B$5:$B$186=A6)*(commission_calc!$C$5:$C$186&gt;=7)*(commission_calc!$C$5:$C$186&lt;=9)*commission_calc!$K$5:$K$186)</f>
        <v>193000</v>
      </c>
      <c r="N6" s="53">
        <f>SUMPRODUCT((commission_calc!$B$5:$B$186=A6)*(commission_calc!$C$5:$C$186&gt;=7)*(commission_calc!$C$5:$C$186&lt;=9)*commission_calc!$J$5:$J$186)</f>
        <v>225000</v>
      </c>
      <c r="O6" s="62">
        <f t="shared" si="2"/>
        <v>0.85777777777777775</v>
      </c>
      <c r="P6" s="69">
        <f>IF(O6&gt;=1.2,10000,IF(O6&gt;=1,5000,IF(O6&gt;=0.8,2000,0)))</f>
        <v>2000</v>
      </c>
      <c r="Q6" s="53">
        <f>SUMPRODUCT((commission_calc!$B$5:$B$186=A6)*(commission_calc!$C$5:$C$186&gt;=10)*(commission_calc!$C$5:$C$186&lt;=12)*commission_calc!$K$5:$K$186)</f>
        <v>195000</v>
      </c>
      <c r="R6" s="53">
        <f>SUMPRODUCT((commission_calc!$B$5:$B$186=A6)*(commission_calc!$C$5:$C$186&gt;=10)*(commission_calc!$C$5:$C$186&lt;=12)*commission_calc!$J$5:$J$186)</f>
        <v>225000</v>
      </c>
      <c r="S6" s="62">
        <f t="shared" si="3"/>
        <v>0.8666666666666667</v>
      </c>
      <c r="T6" s="69">
        <f>IF(S6&gt;=1.2,10000,IF(S6&gt;=1,5000,IF(S6&gt;=0.8,2000,0)))</f>
        <v>2000</v>
      </c>
      <c r="U6" s="57">
        <f t="shared" si="4"/>
        <v>19000</v>
      </c>
    </row>
    <row r="7" spans="1:21" ht="15" customHeight="1" x14ac:dyDescent="0.35">
      <c r="A7" s="22" t="s">
        <v>136</v>
      </c>
      <c r="B7" s="49" t="str">
        <f>VLOOKUP(A7,rep_roster!$A:$B,2,0)</f>
        <v>Olivia Brooks</v>
      </c>
      <c r="C7" s="58" t="str">
        <f>VLOOKUP(A7,rep_roster!$A:$C,3,0)</f>
        <v>AE</v>
      </c>
      <c r="D7" s="58" t="str">
        <f>VLOOKUP(A7,rep_roster!$A:$D,4,0)</f>
        <v>Enterprise</v>
      </c>
      <c r="E7" s="50">
        <f>SUMPRODUCT((commission_calc!$B$5:$B$186=A7)*(commission_calc!$C$5:$C$186&gt;=1)*(commission_calc!$C$5:$C$186&lt;=3)*commission_calc!$K$5:$K$186)</f>
        <v>312000</v>
      </c>
      <c r="F7" s="50">
        <f>SUMPRODUCT((commission_calc!$B$5:$B$186=A7)*(commission_calc!$C$5:$C$186&gt;=1)*(commission_calc!$C$5:$C$186&lt;=3)*commission_calc!$J$5:$J$186)</f>
        <v>225000</v>
      </c>
      <c r="G7" s="59">
        <f t="shared" si="0"/>
        <v>1.3866666666666667</v>
      </c>
      <c r="H7" s="69">
        <f>IF(G7&gt;=1.2,10000,IF(G7&gt;=1,5000,IF(G7&gt;=0.8,2000,0)))</f>
        <v>10000</v>
      </c>
      <c r="I7" s="50">
        <f>SUMPRODUCT((commission_calc!$B$5:$B$186=A7)*(commission_calc!$C$5:$C$186&gt;=4)*(commission_calc!$C$5:$C$186&lt;=6)*commission_calc!$K$5:$K$186)</f>
        <v>265000</v>
      </c>
      <c r="J7" s="50">
        <f>SUMPRODUCT((commission_calc!$B$5:$B$186=A7)*(commission_calc!$C$5:$C$186&gt;=4)*(commission_calc!$C$5:$C$186&lt;=6)*commission_calc!$J$5:$J$186)</f>
        <v>225000</v>
      </c>
      <c r="K7" s="59">
        <f t="shared" si="1"/>
        <v>1.1777777777777778</v>
      </c>
      <c r="L7" s="69">
        <f>IF(K7&gt;=1.2,10000,IF(K7&gt;=1,5000,IF(K7&gt;=0.8,2000,0)))</f>
        <v>5000</v>
      </c>
      <c r="M7" s="50">
        <f>SUMPRODUCT((commission_calc!$B$5:$B$186=A7)*(commission_calc!$C$5:$C$186&gt;=7)*(commission_calc!$C$5:$C$186&lt;=9)*commission_calc!$K$5:$K$186)</f>
        <v>215000</v>
      </c>
      <c r="N7" s="50">
        <f>SUMPRODUCT((commission_calc!$B$5:$B$186=A7)*(commission_calc!$C$5:$C$186&gt;=7)*(commission_calc!$C$5:$C$186&lt;=9)*commission_calc!$J$5:$J$186)</f>
        <v>225000</v>
      </c>
      <c r="O7" s="59">
        <f t="shared" si="2"/>
        <v>0.9555555555555556</v>
      </c>
      <c r="P7" s="69">
        <f>IF(O7&gt;=1.2,10000,IF(O7&gt;=1,5000,IF(O7&gt;=0.8,2000,0)))</f>
        <v>2000</v>
      </c>
      <c r="Q7" s="50">
        <f>SUMPRODUCT((commission_calc!$B$5:$B$186=A7)*(commission_calc!$C$5:$C$186&gt;=10)*(commission_calc!$C$5:$C$186&lt;=12)*commission_calc!$K$5:$K$186)</f>
        <v>217000</v>
      </c>
      <c r="R7" s="50">
        <f>SUMPRODUCT((commission_calc!$B$5:$B$186=A7)*(commission_calc!$C$5:$C$186&gt;=10)*(commission_calc!$C$5:$C$186&lt;=12)*commission_calc!$J$5:$J$186)</f>
        <v>225000</v>
      </c>
      <c r="S7" s="59">
        <f t="shared" si="3"/>
        <v>0.96444444444444444</v>
      </c>
      <c r="T7" s="69">
        <f>IF(S7&gt;=1.2,10000,IF(S7&gt;=1,5000,IF(S7&gt;=0.8,2000,0)))</f>
        <v>2000</v>
      </c>
      <c r="U7" s="57">
        <f t="shared" si="4"/>
        <v>19000</v>
      </c>
    </row>
    <row r="8" spans="1:21" ht="15" customHeight="1" x14ac:dyDescent="0.35">
      <c r="A8" s="25" t="s">
        <v>140</v>
      </c>
      <c r="B8" s="52" t="str">
        <f>VLOOKUP(A8,rep_roster!$A:$B,2,0)</f>
        <v>David Kim</v>
      </c>
      <c r="C8" s="61" t="str">
        <f>VLOOKUP(A8,rep_roster!$A:$C,3,0)</f>
        <v>CSM</v>
      </c>
      <c r="D8" s="61" t="str">
        <f>VLOOKUP(A8,rep_roster!$A:$D,4,0)</f>
        <v>Enterprise</v>
      </c>
      <c r="E8" s="53">
        <f>SUMPRODUCT((commission_calc!$B$5:$B$186=A8)*(commission_calc!$C$5:$C$186&gt;=1)*(commission_calc!$C$5:$C$186&lt;=3)*commission_calc!$K$5:$K$186)</f>
        <v>158000</v>
      </c>
      <c r="F8" s="53">
        <f>SUMPRODUCT((commission_calc!$B$5:$B$186=A8)*(commission_calc!$C$5:$C$186&gt;=1)*(commission_calc!$C$5:$C$186&lt;=3)*commission_calc!$J$5:$J$186)</f>
        <v>120000</v>
      </c>
      <c r="G8" s="62">
        <f t="shared" si="0"/>
        <v>1.3166666666666667</v>
      </c>
      <c r="H8" s="69">
        <f>IF(G8&gt;=1.2,5000,IF(G8&gt;=1,2500,IF(G8&gt;=0.8,1000,0)))</f>
        <v>5000</v>
      </c>
      <c r="I8" s="53">
        <f>SUMPRODUCT((commission_calc!$B$5:$B$186=A8)*(commission_calc!$C$5:$C$186&gt;=4)*(commission_calc!$C$5:$C$186&lt;=6)*commission_calc!$K$5:$K$186)</f>
        <v>132000</v>
      </c>
      <c r="J8" s="53">
        <f>SUMPRODUCT((commission_calc!$B$5:$B$186=A8)*(commission_calc!$C$5:$C$186&gt;=4)*(commission_calc!$C$5:$C$186&lt;=6)*commission_calc!$J$5:$J$186)</f>
        <v>120000</v>
      </c>
      <c r="K8" s="62">
        <f t="shared" si="1"/>
        <v>1.1000000000000001</v>
      </c>
      <c r="L8" s="69">
        <f>IF(K8&gt;=1.2,5000,IF(K8&gt;=1,2500,IF(K8&gt;=0.8,1000,0)))</f>
        <v>2500</v>
      </c>
      <c r="M8" s="53">
        <f>SUMPRODUCT((commission_calc!$B$5:$B$186=A8)*(commission_calc!$C$5:$C$186&gt;=7)*(commission_calc!$C$5:$C$186&lt;=9)*commission_calc!$K$5:$K$186)</f>
        <v>103000</v>
      </c>
      <c r="N8" s="53">
        <f>SUMPRODUCT((commission_calc!$B$5:$B$186=A8)*(commission_calc!$C$5:$C$186&gt;=7)*(commission_calc!$C$5:$C$186&lt;=9)*commission_calc!$J$5:$J$186)</f>
        <v>120000</v>
      </c>
      <c r="O8" s="62">
        <f t="shared" si="2"/>
        <v>0.85833333333333328</v>
      </c>
      <c r="P8" s="69">
        <f>IF(O8&gt;=1.2,5000,IF(O8&gt;=1,2500,IF(O8&gt;=0.8,1000,0)))</f>
        <v>1000</v>
      </c>
      <c r="Q8" s="53">
        <f>SUMPRODUCT((commission_calc!$B$5:$B$186=A8)*(commission_calc!$C$5:$C$186&gt;=10)*(commission_calc!$C$5:$C$186&lt;=12)*commission_calc!$K$5:$K$186)</f>
        <v>0</v>
      </c>
      <c r="R8" s="53">
        <f>SUMPRODUCT((commission_calc!$B$5:$B$186=A8)*(commission_calc!$C$5:$C$186&gt;=10)*(commission_calc!$C$5:$C$186&lt;=12)*commission_calc!$J$5:$J$186)</f>
        <v>0</v>
      </c>
      <c r="S8" s="62">
        <f t="shared" si="3"/>
        <v>0</v>
      </c>
      <c r="T8" s="69">
        <f>IF(S8&gt;=1.2,5000,IF(S8&gt;=1,2500,IF(S8&gt;=0.8,1000,0)))</f>
        <v>0</v>
      </c>
      <c r="U8" s="57">
        <f t="shared" si="4"/>
        <v>8500</v>
      </c>
    </row>
    <row r="9" spans="1:21" ht="15" customHeight="1" x14ac:dyDescent="0.35">
      <c r="A9" s="22" t="s">
        <v>143</v>
      </c>
      <c r="B9" s="49" t="str">
        <f>VLOOKUP(A9,rep_roster!$A:$B,2,0)</f>
        <v>Lisa Park</v>
      </c>
      <c r="C9" s="58" t="str">
        <f>VLOOKUP(A9,rep_roster!$A:$C,3,0)</f>
        <v>CSM</v>
      </c>
      <c r="D9" s="58" t="str">
        <f>VLOOKUP(A9,rep_roster!$A:$D,4,0)</f>
        <v>Enterprise</v>
      </c>
      <c r="E9" s="50">
        <f>SUMPRODUCT((commission_calc!$B$5:$B$186=A9)*(commission_calc!$C$5:$C$186&gt;=1)*(commission_calc!$C$5:$C$186&lt;=3)*commission_calc!$K$5:$K$186)</f>
        <v>0</v>
      </c>
      <c r="F9" s="50">
        <f>SUMPRODUCT((commission_calc!$B$5:$B$186=A9)*(commission_calc!$C$5:$C$186&gt;=1)*(commission_calc!$C$5:$C$186&lt;=3)*commission_calc!$J$5:$J$186)</f>
        <v>0</v>
      </c>
      <c r="G9" s="59">
        <f t="shared" si="0"/>
        <v>0</v>
      </c>
      <c r="H9" s="69">
        <f>IF(G9&gt;=1.2,5000,IF(G9&gt;=1,2500,IF(G9&gt;=0.8,1000,0)))</f>
        <v>0</v>
      </c>
      <c r="I9" s="50">
        <f>SUMPRODUCT((commission_calc!$B$5:$B$186=A9)*(commission_calc!$C$5:$C$186&gt;=4)*(commission_calc!$C$5:$C$186&lt;=6)*commission_calc!$K$5:$K$186)</f>
        <v>0</v>
      </c>
      <c r="J9" s="50">
        <f>SUMPRODUCT((commission_calc!$B$5:$B$186=A9)*(commission_calc!$C$5:$C$186&gt;=4)*(commission_calc!$C$5:$C$186&lt;=6)*commission_calc!$J$5:$J$186)</f>
        <v>0</v>
      </c>
      <c r="K9" s="59">
        <f t="shared" si="1"/>
        <v>0</v>
      </c>
      <c r="L9" s="69">
        <f>IF(K9&gt;=1.2,5000,IF(K9&gt;=1,2500,IF(K9&gt;=0.8,1000,0)))</f>
        <v>0</v>
      </c>
      <c r="M9" s="50">
        <f>SUMPRODUCT((commission_calc!$B$5:$B$186=A9)*(commission_calc!$C$5:$C$186&gt;=7)*(commission_calc!$C$5:$C$186&lt;=9)*commission_calc!$K$5:$K$186)</f>
        <v>0</v>
      </c>
      <c r="N9" s="50">
        <f>SUMPRODUCT((commission_calc!$B$5:$B$186=A9)*(commission_calc!$C$5:$C$186&gt;=7)*(commission_calc!$C$5:$C$186&lt;=9)*commission_calc!$J$5:$J$186)</f>
        <v>0</v>
      </c>
      <c r="O9" s="59">
        <f t="shared" si="2"/>
        <v>0</v>
      </c>
      <c r="P9" s="69">
        <f>IF(O9&gt;=1.2,5000,IF(O9&gt;=1,2500,IF(O9&gt;=0.8,1000,0)))</f>
        <v>0</v>
      </c>
      <c r="Q9" s="50">
        <f>SUMPRODUCT((commission_calc!$B$5:$B$186=A9)*(commission_calc!$C$5:$C$186&gt;=10)*(commission_calc!$C$5:$C$186&lt;=12)*commission_calc!$K$5:$K$186)</f>
        <v>37000</v>
      </c>
      <c r="R9" s="50">
        <f>SUMPRODUCT((commission_calc!$B$5:$B$186=A9)*(commission_calc!$C$5:$C$186&gt;=10)*(commission_calc!$C$5:$C$186&lt;=12)*commission_calc!$J$5:$J$186)</f>
        <v>84000</v>
      </c>
      <c r="S9" s="59">
        <f t="shared" si="3"/>
        <v>0.44047619047619047</v>
      </c>
      <c r="T9" s="69">
        <f>IF(S9&gt;=1.2,5000,IF(S9&gt;=1,2500,IF(S9&gt;=0.8,1000,0)))</f>
        <v>0</v>
      </c>
      <c r="U9" s="57">
        <f t="shared" si="4"/>
        <v>0</v>
      </c>
    </row>
    <row r="10" spans="1:21" ht="15" customHeight="1" x14ac:dyDescent="0.35">
      <c r="A10" s="25" t="s">
        <v>148</v>
      </c>
      <c r="B10" s="52" t="str">
        <f>VLOOKUP(A10,rep_roster!$A:$B,2,0)</f>
        <v>Kevin O'Brien</v>
      </c>
      <c r="C10" s="61" t="str">
        <f>VLOOKUP(A10,rep_roster!$A:$C,3,0)</f>
        <v>SDR</v>
      </c>
      <c r="D10" s="61" t="str">
        <f>VLOOKUP(A10,rep_roster!$A:$D,4,0)</f>
        <v>Mid-Market</v>
      </c>
      <c r="E10" s="63">
        <f>SUMPRODUCT((commission_calc!$B$5:$B$186=A10)*(commission_calc!$C$5:$C$186&gt;=1)*(commission_calc!$C$5:$C$186&lt;=3)*commission_calc!$K$5:$K$186)</f>
        <v>36</v>
      </c>
      <c r="F10" s="63">
        <f>SUMPRODUCT((commission_calc!$B$5:$B$186=A10)*(commission_calc!$C$5:$C$186&gt;=1)*(commission_calc!$C$5:$C$186&lt;=3)*commission_calc!$J$5:$J$186)</f>
        <v>30</v>
      </c>
      <c r="G10" s="62">
        <f t="shared" si="0"/>
        <v>1.2</v>
      </c>
      <c r="H10" s="69">
        <f>IF(G10&gt;=1.2,2500,IF(G10&gt;=1,1200,IF(G10&gt;=0.8,600,0)))</f>
        <v>2500</v>
      </c>
      <c r="I10" s="63">
        <f>SUMPRODUCT((commission_calc!$B$5:$B$186=A10)*(commission_calc!$C$5:$C$186&gt;=4)*(commission_calc!$C$5:$C$186&lt;=6)*commission_calc!$K$5:$K$186)</f>
        <v>32</v>
      </c>
      <c r="J10" s="63">
        <f>SUMPRODUCT((commission_calc!$B$5:$B$186=A10)*(commission_calc!$C$5:$C$186&gt;=4)*(commission_calc!$C$5:$C$186&lt;=6)*commission_calc!$J$5:$J$186)</f>
        <v>30</v>
      </c>
      <c r="K10" s="62">
        <f t="shared" si="1"/>
        <v>1.0666666666666667</v>
      </c>
      <c r="L10" s="69">
        <f>IF(K10&gt;=1.2,2500,IF(K10&gt;=1,1200,IF(K10&gt;=0.8,600,0)))</f>
        <v>1200</v>
      </c>
      <c r="M10" s="63">
        <f>SUMPRODUCT((commission_calc!$B$5:$B$186=A10)*(commission_calc!$C$5:$C$186&gt;=7)*(commission_calc!$C$5:$C$186&lt;=9)*commission_calc!$K$5:$K$186)</f>
        <v>13</v>
      </c>
      <c r="N10" s="63">
        <f>SUMPRODUCT((commission_calc!$B$5:$B$186=A10)*(commission_calc!$C$5:$C$186&gt;=7)*(commission_calc!$C$5:$C$186&lt;=9)*commission_calc!$J$5:$J$186)</f>
        <v>20</v>
      </c>
      <c r="O10" s="62">
        <f t="shared" si="2"/>
        <v>0.65</v>
      </c>
      <c r="P10" s="69">
        <f>IF(O10&gt;=1.2,2500,IF(O10&gt;=1,1200,IF(O10&gt;=0.8,600,0)))</f>
        <v>0</v>
      </c>
      <c r="Q10" s="63">
        <f>SUMPRODUCT((commission_calc!$B$5:$B$186=A10)*(commission_calc!$C$5:$C$186&gt;=10)*(commission_calc!$C$5:$C$186&lt;=12)*commission_calc!$K$5:$K$186)</f>
        <v>0</v>
      </c>
      <c r="R10" s="63">
        <f>SUMPRODUCT((commission_calc!$B$5:$B$186=A10)*(commission_calc!$C$5:$C$186&gt;=10)*(commission_calc!$C$5:$C$186&lt;=12)*commission_calc!$J$5:$J$186)</f>
        <v>0</v>
      </c>
      <c r="S10" s="62">
        <f t="shared" si="3"/>
        <v>0</v>
      </c>
      <c r="T10" s="69">
        <f>IF(S10&gt;=1.2,2500,IF(S10&gt;=1,1200,IF(S10&gt;=0.8,600,0)))</f>
        <v>0</v>
      </c>
      <c r="U10" s="57">
        <f t="shared" si="4"/>
        <v>3700</v>
      </c>
    </row>
    <row r="11" spans="1:21" ht="15" customHeight="1" x14ac:dyDescent="0.35">
      <c r="A11" s="22" t="s">
        <v>150</v>
      </c>
      <c r="B11" s="49" t="str">
        <f>VLOOKUP(A11,rep_roster!$A:$B,2,0)</f>
        <v>Aisha Johnson</v>
      </c>
      <c r="C11" s="58" t="str">
        <f>VLOOKUP(A11,rep_roster!$A:$C,3,0)</f>
        <v>SDR</v>
      </c>
      <c r="D11" s="58" t="str">
        <f>VLOOKUP(A11,rep_roster!$A:$D,4,0)</f>
        <v>Mid-Market</v>
      </c>
      <c r="E11" s="60">
        <f>SUMPRODUCT((commission_calc!$B$5:$B$186=A11)*(commission_calc!$C$5:$C$186&gt;=1)*(commission_calc!$C$5:$C$186&lt;=3)*commission_calc!$K$5:$K$186)</f>
        <v>38</v>
      </c>
      <c r="F11" s="60">
        <f>SUMPRODUCT((commission_calc!$B$5:$B$186=A11)*(commission_calc!$C$5:$C$186&gt;=1)*(commission_calc!$C$5:$C$186&lt;=3)*commission_calc!$J$5:$J$186)</f>
        <v>30</v>
      </c>
      <c r="G11" s="59">
        <f t="shared" si="0"/>
        <v>1.2666666666666666</v>
      </c>
      <c r="H11" s="69">
        <f>IF(G11&gt;=1.2,2500,IF(G11&gt;=1,1200,IF(G11&gt;=0.8,600,0)))</f>
        <v>2500</v>
      </c>
      <c r="I11" s="60">
        <f>SUMPRODUCT((commission_calc!$B$5:$B$186=A11)*(commission_calc!$C$5:$C$186&gt;=4)*(commission_calc!$C$5:$C$186&lt;=6)*commission_calc!$K$5:$K$186)</f>
        <v>34</v>
      </c>
      <c r="J11" s="60">
        <f>SUMPRODUCT((commission_calc!$B$5:$B$186=A11)*(commission_calc!$C$5:$C$186&gt;=4)*(commission_calc!$C$5:$C$186&lt;=6)*commission_calc!$J$5:$J$186)</f>
        <v>30</v>
      </c>
      <c r="K11" s="59">
        <f t="shared" si="1"/>
        <v>1.1333333333333333</v>
      </c>
      <c r="L11" s="69">
        <f>IF(K11&gt;=1.2,2500,IF(K11&gt;=1,1200,IF(K11&gt;=0.8,600,0)))</f>
        <v>1200</v>
      </c>
      <c r="M11" s="60">
        <f>SUMPRODUCT((commission_calc!$B$5:$B$186=A11)*(commission_calc!$C$5:$C$186&gt;=7)*(commission_calc!$C$5:$C$186&lt;=9)*commission_calc!$K$5:$K$186)</f>
        <v>27</v>
      </c>
      <c r="N11" s="60">
        <f>SUMPRODUCT((commission_calc!$B$5:$B$186=A11)*(commission_calc!$C$5:$C$186&gt;=7)*(commission_calc!$C$5:$C$186&lt;=9)*commission_calc!$J$5:$J$186)</f>
        <v>30</v>
      </c>
      <c r="O11" s="59">
        <f t="shared" si="2"/>
        <v>0.9</v>
      </c>
      <c r="P11" s="69">
        <f>IF(O11&gt;=1.2,2500,IF(O11&gt;=1,1200,IF(O11&gt;=0.8,600,0)))</f>
        <v>600</v>
      </c>
      <c r="Q11" s="60">
        <f>SUMPRODUCT((commission_calc!$B$5:$B$186=A11)*(commission_calc!$C$5:$C$186&gt;=10)*(commission_calc!$C$5:$C$186&lt;=12)*commission_calc!$K$5:$K$186)</f>
        <v>29</v>
      </c>
      <c r="R11" s="60">
        <f>SUMPRODUCT((commission_calc!$B$5:$B$186=A11)*(commission_calc!$C$5:$C$186&gt;=10)*(commission_calc!$C$5:$C$186&lt;=12)*commission_calc!$J$5:$J$186)</f>
        <v>30</v>
      </c>
      <c r="S11" s="59">
        <f t="shared" si="3"/>
        <v>0.96666666666666667</v>
      </c>
      <c r="T11" s="69">
        <f>IF(S11&gt;=1.2,2500,IF(S11&gt;=1,1200,IF(S11&gt;=0.8,600,0)))</f>
        <v>600</v>
      </c>
      <c r="U11" s="57">
        <f t="shared" si="4"/>
        <v>4900</v>
      </c>
    </row>
    <row r="12" spans="1:21" ht="15" customHeight="1" x14ac:dyDescent="0.35">
      <c r="A12" s="25" t="s">
        <v>154</v>
      </c>
      <c r="B12" s="52" t="str">
        <f>VLOOKUP(A12,rep_roster!$A:$B,2,0)</f>
        <v>Jessica Martinez</v>
      </c>
      <c r="C12" s="61" t="str">
        <f>VLOOKUP(A12,rep_roster!$A:$C,3,0)</f>
        <v>SDR</v>
      </c>
      <c r="D12" s="61" t="str">
        <f>VLOOKUP(A12,rep_roster!$A:$D,4,0)</f>
        <v>Mid-Market</v>
      </c>
      <c r="E12" s="63">
        <f>SUMPRODUCT((commission_calc!$B$5:$B$186=A12)*(commission_calc!$C$5:$C$186&gt;=1)*(commission_calc!$C$5:$C$186&lt;=3)*commission_calc!$K$5:$K$186)</f>
        <v>0</v>
      </c>
      <c r="F12" s="63">
        <f>SUMPRODUCT((commission_calc!$B$5:$B$186=A12)*(commission_calc!$C$5:$C$186&gt;=1)*(commission_calc!$C$5:$C$186&lt;=3)*commission_calc!$J$5:$J$186)</f>
        <v>0</v>
      </c>
      <c r="G12" s="62">
        <f t="shared" si="0"/>
        <v>0</v>
      </c>
      <c r="H12" s="69">
        <f>IF(G12&gt;=1.2,2500,IF(G12&gt;=1,1200,IF(G12&gt;=0.8,600,0)))</f>
        <v>0</v>
      </c>
      <c r="I12" s="63">
        <f>SUMPRODUCT((commission_calc!$B$5:$B$186=A12)*(commission_calc!$C$5:$C$186&gt;=4)*(commission_calc!$C$5:$C$186&lt;=6)*commission_calc!$K$5:$K$186)</f>
        <v>0</v>
      </c>
      <c r="J12" s="63">
        <f>SUMPRODUCT((commission_calc!$B$5:$B$186=A12)*(commission_calc!$C$5:$C$186&gt;=4)*(commission_calc!$C$5:$C$186&lt;=6)*commission_calc!$J$5:$J$186)</f>
        <v>0</v>
      </c>
      <c r="K12" s="62">
        <f t="shared" si="1"/>
        <v>0</v>
      </c>
      <c r="L12" s="69">
        <f>IF(K12&gt;=1.2,2500,IF(K12&gt;=1,1200,IF(K12&gt;=0.8,600,0)))</f>
        <v>0</v>
      </c>
      <c r="M12" s="63">
        <f>SUMPRODUCT((commission_calc!$B$5:$B$186=A12)*(commission_calc!$C$5:$C$186&gt;=7)*(commission_calc!$C$5:$C$186&lt;=9)*commission_calc!$K$5:$K$186)</f>
        <v>25</v>
      </c>
      <c r="N12" s="63">
        <f>SUMPRODUCT((commission_calc!$B$5:$B$186=A12)*(commission_calc!$C$5:$C$186&gt;=7)*(commission_calc!$C$5:$C$186&lt;=9)*commission_calc!$J$5:$J$186)</f>
        <v>21</v>
      </c>
      <c r="O12" s="62">
        <f t="shared" si="2"/>
        <v>1.1904761904761905</v>
      </c>
      <c r="P12" s="69">
        <f>IF(O12&gt;=1.2,2500,IF(O12&gt;=1,1200,IF(O12&gt;=0.8,600,0)))</f>
        <v>1200</v>
      </c>
      <c r="Q12" s="63">
        <f>SUMPRODUCT((commission_calc!$B$5:$B$186=A12)*(commission_calc!$C$5:$C$186&gt;=10)*(commission_calc!$C$5:$C$186&lt;=12)*commission_calc!$K$5:$K$186)</f>
        <v>32</v>
      </c>
      <c r="R12" s="63">
        <f>SUMPRODUCT((commission_calc!$B$5:$B$186=A12)*(commission_calc!$C$5:$C$186&gt;=10)*(commission_calc!$C$5:$C$186&lt;=12)*commission_calc!$J$5:$J$186)</f>
        <v>30</v>
      </c>
      <c r="S12" s="62">
        <f t="shared" si="3"/>
        <v>1.0666666666666667</v>
      </c>
      <c r="T12" s="69">
        <f>IF(S12&gt;=1.2,2500,IF(S12&gt;=1,1200,IF(S12&gt;=0.8,600,0)))</f>
        <v>1200</v>
      </c>
      <c r="U12" s="57">
        <f t="shared" si="4"/>
        <v>2400</v>
      </c>
    </row>
    <row r="13" spans="1:21" ht="15" customHeight="1" x14ac:dyDescent="0.35">
      <c r="A13" s="22" t="s">
        <v>157</v>
      </c>
      <c r="B13" s="49" t="str">
        <f>VLOOKUP(A13,rep_roster!$A:$B,2,0)</f>
        <v>Ryan Thompson</v>
      </c>
      <c r="C13" s="58" t="str">
        <f>VLOOKUP(A13,rep_roster!$A:$C,3,0)</f>
        <v>AE</v>
      </c>
      <c r="D13" s="58" t="str">
        <f>VLOOKUP(A13,rep_roster!$A:$D,4,0)</f>
        <v>Mid-Market</v>
      </c>
      <c r="E13" s="50">
        <f>SUMPRODUCT((commission_calc!$B$5:$B$186=A13)*(commission_calc!$C$5:$C$186&gt;=1)*(commission_calc!$C$5:$C$186&lt;=3)*commission_calc!$K$5:$K$186)</f>
        <v>188000</v>
      </c>
      <c r="F13" s="50">
        <f>SUMPRODUCT((commission_calc!$B$5:$B$186=A13)*(commission_calc!$C$5:$C$186&gt;=1)*(commission_calc!$C$5:$C$186&lt;=3)*commission_calc!$J$5:$J$186)</f>
        <v>150000</v>
      </c>
      <c r="G13" s="59">
        <f t="shared" si="0"/>
        <v>1.2533333333333334</v>
      </c>
      <c r="H13" s="69">
        <f>IF(G13&gt;=1.2,8000,IF(G13&gt;=1,4000,IF(G13&gt;=0.8,1500,0)))</f>
        <v>8000</v>
      </c>
      <c r="I13" s="50">
        <f>SUMPRODUCT((commission_calc!$B$5:$B$186=A13)*(commission_calc!$C$5:$C$186&gt;=4)*(commission_calc!$C$5:$C$186&lt;=6)*commission_calc!$K$5:$K$186)</f>
        <v>163000</v>
      </c>
      <c r="J13" s="50">
        <f>SUMPRODUCT((commission_calc!$B$5:$B$186=A13)*(commission_calc!$C$5:$C$186&gt;=4)*(commission_calc!$C$5:$C$186&lt;=6)*commission_calc!$J$5:$J$186)</f>
        <v>150000</v>
      </c>
      <c r="K13" s="59">
        <f t="shared" si="1"/>
        <v>1.0866666666666667</v>
      </c>
      <c r="L13" s="69">
        <f>IF(K13&gt;=1.2,8000,IF(K13&gt;=1,4000,IF(K13&gt;=0.8,1500,0)))</f>
        <v>4000</v>
      </c>
      <c r="M13" s="50">
        <f>SUMPRODUCT((commission_calc!$B$5:$B$186=A13)*(commission_calc!$C$5:$C$186&gt;=7)*(commission_calc!$C$5:$C$186&lt;=9)*commission_calc!$K$5:$K$186)</f>
        <v>132000</v>
      </c>
      <c r="N13" s="50">
        <f>SUMPRODUCT((commission_calc!$B$5:$B$186=A13)*(commission_calc!$C$5:$C$186&gt;=7)*(commission_calc!$C$5:$C$186&lt;=9)*commission_calc!$J$5:$J$186)</f>
        <v>150000</v>
      </c>
      <c r="O13" s="59">
        <f t="shared" si="2"/>
        <v>0.88</v>
      </c>
      <c r="P13" s="69">
        <f>IF(O13&gt;=1.2,8000,IF(O13&gt;=1,4000,IF(O13&gt;=0.8,1500,0)))</f>
        <v>1500</v>
      </c>
      <c r="Q13" s="50">
        <f>SUMPRODUCT((commission_calc!$B$5:$B$186=A13)*(commission_calc!$C$5:$C$186&gt;=10)*(commission_calc!$C$5:$C$186&lt;=12)*commission_calc!$K$5:$K$186)</f>
        <v>132000</v>
      </c>
      <c r="R13" s="50">
        <f>SUMPRODUCT((commission_calc!$B$5:$B$186=A13)*(commission_calc!$C$5:$C$186&gt;=10)*(commission_calc!$C$5:$C$186&lt;=12)*commission_calc!$J$5:$J$186)</f>
        <v>150000</v>
      </c>
      <c r="S13" s="59">
        <f t="shared" si="3"/>
        <v>0.88</v>
      </c>
      <c r="T13" s="69">
        <f>IF(S13&gt;=1.2,8000,IF(S13&gt;=1,4000,IF(S13&gt;=0.8,1500,0)))</f>
        <v>1500</v>
      </c>
      <c r="U13" s="57">
        <f t="shared" si="4"/>
        <v>15000</v>
      </c>
    </row>
    <row r="14" spans="1:21" ht="15" customHeight="1" x14ac:dyDescent="0.35">
      <c r="A14" s="25" t="s">
        <v>159</v>
      </c>
      <c r="B14" s="52" t="str">
        <f>VLOOKUP(A14,rep_roster!$A:$B,2,0)</f>
        <v>Samantha Lee</v>
      </c>
      <c r="C14" s="61" t="str">
        <f>VLOOKUP(A14,rep_roster!$A:$C,3,0)</f>
        <v>AE</v>
      </c>
      <c r="D14" s="61" t="str">
        <f>VLOOKUP(A14,rep_roster!$A:$D,4,0)</f>
        <v>Mid-Market</v>
      </c>
      <c r="E14" s="53">
        <f>SUMPRODUCT((commission_calc!$B$5:$B$186=A14)*(commission_calc!$C$5:$C$186&gt;=1)*(commission_calc!$C$5:$C$186&lt;=3)*commission_calc!$K$5:$K$186)</f>
        <v>204000</v>
      </c>
      <c r="F14" s="53">
        <f>SUMPRODUCT((commission_calc!$B$5:$B$186=A14)*(commission_calc!$C$5:$C$186&gt;=1)*(commission_calc!$C$5:$C$186&lt;=3)*commission_calc!$J$5:$J$186)</f>
        <v>150000</v>
      </c>
      <c r="G14" s="62">
        <f t="shared" si="0"/>
        <v>1.36</v>
      </c>
      <c r="H14" s="69">
        <f>IF(G14&gt;=1.2,8000,IF(G14&gt;=1,4000,IF(G14&gt;=0.8,1500,0)))</f>
        <v>8000</v>
      </c>
      <c r="I14" s="53">
        <f>SUMPRODUCT((commission_calc!$B$5:$B$186=A14)*(commission_calc!$C$5:$C$186&gt;=4)*(commission_calc!$C$5:$C$186&lt;=6)*commission_calc!$K$5:$K$186)</f>
        <v>175000</v>
      </c>
      <c r="J14" s="53">
        <f>SUMPRODUCT((commission_calc!$B$5:$B$186=A14)*(commission_calc!$C$5:$C$186&gt;=4)*(commission_calc!$C$5:$C$186&lt;=6)*commission_calc!$J$5:$J$186)</f>
        <v>150000</v>
      </c>
      <c r="K14" s="62">
        <f t="shared" si="1"/>
        <v>1.1666666666666667</v>
      </c>
      <c r="L14" s="69">
        <f>IF(K14&gt;=1.2,8000,IF(K14&gt;=1,4000,IF(K14&gt;=0.8,1500,0)))</f>
        <v>4000</v>
      </c>
      <c r="M14" s="53">
        <f>SUMPRODUCT((commission_calc!$B$5:$B$186=A14)*(commission_calc!$C$5:$C$186&gt;=7)*(commission_calc!$C$5:$C$186&lt;=9)*commission_calc!$K$5:$K$186)</f>
        <v>137000</v>
      </c>
      <c r="N14" s="53">
        <f>SUMPRODUCT((commission_calc!$B$5:$B$186=A14)*(commission_calc!$C$5:$C$186&gt;=7)*(commission_calc!$C$5:$C$186&lt;=9)*commission_calc!$J$5:$J$186)</f>
        <v>150000</v>
      </c>
      <c r="O14" s="62">
        <f t="shared" si="2"/>
        <v>0.91333333333333333</v>
      </c>
      <c r="P14" s="69">
        <f>IF(O14&gt;=1.2,8000,IF(O14&gt;=1,4000,IF(O14&gt;=0.8,1500,0)))</f>
        <v>1500</v>
      </c>
      <c r="Q14" s="53">
        <f>SUMPRODUCT((commission_calc!$B$5:$B$186=A14)*(commission_calc!$C$5:$C$186&gt;=10)*(commission_calc!$C$5:$C$186&lt;=12)*commission_calc!$K$5:$K$186)</f>
        <v>143000</v>
      </c>
      <c r="R14" s="53">
        <f>SUMPRODUCT((commission_calc!$B$5:$B$186=A14)*(commission_calc!$C$5:$C$186&gt;=10)*(commission_calc!$C$5:$C$186&lt;=12)*commission_calc!$J$5:$J$186)</f>
        <v>150000</v>
      </c>
      <c r="S14" s="62">
        <f t="shared" si="3"/>
        <v>0.95333333333333337</v>
      </c>
      <c r="T14" s="69">
        <f>IF(S14&gt;=1.2,8000,IF(S14&gt;=1,4000,IF(S14&gt;=0.8,1500,0)))</f>
        <v>1500</v>
      </c>
      <c r="U14" s="57">
        <f t="shared" si="4"/>
        <v>15000</v>
      </c>
    </row>
    <row r="15" spans="1:21" ht="15" customHeight="1" x14ac:dyDescent="0.35">
      <c r="A15" s="22" t="s">
        <v>161</v>
      </c>
      <c r="B15" s="49" t="str">
        <f>VLOOKUP(A15,rep_roster!$A:$B,2,0)</f>
        <v>Daniel Foster</v>
      </c>
      <c r="C15" s="58" t="str">
        <f>VLOOKUP(A15,rep_roster!$A:$C,3,0)</f>
        <v>CSM</v>
      </c>
      <c r="D15" s="58" t="str">
        <f>VLOOKUP(A15,rep_roster!$A:$D,4,0)</f>
        <v>Mid-Market</v>
      </c>
      <c r="E15" s="50">
        <f>SUMPRODUCT((commission_calc!$B$5:$B$186=A15)*(commission_calc!$C$5:$C$186&gt;=1)*(commission_calc!$C$5:$C$186&lt;=3)*commission_calc!$K$5:$K$186)</f>
        <v>60000</v>
      </c>
      <c r="F15" s="50">
        <f>SUMPRODUCT((commission_calc!$B$5:$B$186=A15)*(commission_calc!$C$5:$C$186&gt;=1)*(commission_calc!$C$5:$C$186&lt;=3)*commission_calc!$J$5:$J$186)</f>
        <v>45000</v>
      </c>
      <c r="G15" s="59">
        <f t="shared" si="0"/>
        <v>1.3333333333333333</v>
      </c>
      <c r="H15" s="69">
        <f>IF(G15&gt;=1.2,4000,IF(G15&gt;=1,2000,IF(G15&gt;=0.8,750,0)))</f>
        <v>4000</v>
      </c>
      <c r="I15" s="50">
        <f>SUMPRODUCT((commission_calc!$B$5:$B$186=A15)*(commission_calc!$C$5:$C$186&gt;=4)*(commission_calc!$C$5:$C$186&lt;=6)*commission_calc!$K$5:$K$186)</f>
        <v>51000</v>
      </c>
      <c r="J15" s="50">
        <f>SUMPRODUCT((commission_calc!$B$5:$B$186=A15)*(commission_calc!$C$5:$C$186&gt;=4)*(commission_calc!$C$5:$C$186&lt;=6)*commission_calc!$J$5:$J$186)</f>
        <v>45000</v>
      </c>
      <c r="K15" s="59">
        <f t="shared" si="1"/>
        <v>1.1333333333333333</v>
      </c>
      <c r="L15" s="69">
        <f>IF(K15&gt;=1.2,4000,IF(K15&gt;=1,2000,IF(K15&gt;=0.8,750,0)))</f>
        <v>2000</v>
      </c>
      <c r="M15" s="50">
        <f>SUMPRODUCT((commission_calc!$B$5:$B$186=A15)*(commission_calc!$C$5:$C$186&gt;=7)*(commission_calc!$C$5:$C$186&lt;=9)*commission_calc!$K$5:$K$186)</f>
        <v>38000</v>
      </c>
      <c r="N15" s="50">
        <f>SUMPRODUCT((commission_calc!$B$5:$B$186=A15)*(commission_calc!$C$5:$C$186&gt;=7)*(commission_calc!$C$5:$C$186&lt;=9)*commission_calc!$J$5:$J$186)</f>
        <v>45000</v>
      </c>
      <c r="O15" s="59">
        <f t="shared" si="2"/>
        <v>0.84444444444444444</v>
      </c>
      <c r="P15" s="69">
        <f>IF(O15&gt;=1.2,4000,IF(O15&gt;=1,2000,IF(O15&gt;=0.8,750,0)))</f>
        <v>750</v>
      </c>
      <c r="Q15" s="50">
        <f>SUMPRODUCT((commission_calc!$B$5:$B$186=A15)*(commission_calc!$C$5:$C$186&gt;=10)*(commission_calc!$C$5:$C$186&lt;=12)*commission_calc!$K$5:$K$186)</f>
        <v>37000</v>
      </c>
      <c r="R15" s="50">
        <f>SUMPRODUCT((commission_calc!$B$5:$B$186=A15)*(commission_calc!$C$5:$C$186&gt;=10)*(commission_calc!$C$5:$C$186&lt;=12)*commission_calc!$J$5:$J$186)</f>
        <v>45000</v>
      </c>
      <c r="S15" s="59">
        <f t="shared" si="3"/>
        <v>0.82222222222222219</v>
      </c>
      <c r="T15" s="69">
        <f>IF(S15&gt;=1.2,4000,IF(S15&gt;=1,2000,IF(S15&gt;=0.8,750,0)))</f>
        <v>750</v>
      </c>
      <c r="U15" s="57">
        <f t="shared" si="4"/>
        <v>7500</v>
      </c>
    </row>
    <row r="16" spans="1:21" ht="15" customHeight="1" x14ac:dyDescent="0.35">
      <c r="A16" s="25" t="s">
        <v>163</v>
      </c>
      <c r="B16" s="52" t="str">
        <f>VLOOKUP(A16,rep_roster!$A:$B,2,0)</f>
        <v>Rachel Green</v>
      </c>
      <c r="C16" s="61" t="str">
        <f>VLOOKUP(A16,rep_roster!$A:$C,3,0)</f>
        <v>CSM</v>
      </c>
      <c r="D16" s="61" t="str">
        <f>VLOOKUP(A16,rep_roster!$A:$D,4,0)</f>
        <v>Mid-Market</v>
      </c>
      <c r="E16" s="53">
        <f>SUMPRODUCT((commission_calc!$B$5:$B$186=A16)*(commission_calc!$C$5:$C$186&gt;=1)*(commission_calc!$C$5:$C$186&lt;=3)*commission_calc!$K$5:$K$186)</f>
        <v>66000</v>
      </c>
      <c r="F16" s="53">
        <f>SUMPRODUCT((commission_calc!$B$5:$B$186=A16)*(commission_calc!$C$5:$C$186&gt;=1)*(commission_calc!$C$5:$C$186&lt;=3)*commission_calc!$J$5:$J$186)</f>
        <v>45000</v>
      </c>
      <c r="G16" s="62">
        <f t="shared" si="0"/>
        <v>1.4666666666666666</v>
      </c>
      <c r="H16" s="69">
        <f>IF(G16&gt;=1.2,4000,IF(G16&gt;=1,2000,IF(G16&gt;=0.8,750,0)))</f>
        <v>4000</v>
      </c>
      <c r="I16" s="53">
        <f>SUMPRODUCT((commission_calc!$B$5:$B$186=A16)*(commission_calc!$C$5:$C$186&gt;=4)*(commission_calc!$C$5:$C$186&lt;=6)*commission_calc!$K$5:$K$186)</f>
        <v>54000</v>
      </c>
      <c r="J16" s="53">
        <f>SUMPRODUCT((commission_calc!$B$5:$B$186=A16)*(commission_calc!$C$5:$C$186&gt;=4)*(commission_calc!$C$5:$C$186&lt;=6)*commission_calc!$J$5:$J$186)</f>
        <v>45000</v>
      </c>
      <c r="K16" s="62">
        <f t="shared" si="1"/>
        <v>1.2</v>
      </c>
      <c r="L16" s="69">
        <f>IF(K16&gt;=1.2,4000,IF(K16&gt;=1,2000,IF(K16&gt;=0.8,750,0)))</f>
        <v>4000</v>
      </c>
      <c r="M16" s="53">
        <f>SUMPRODUCT((commission_calc!$B$5:$B$186=A16)*(commission_calc!$C$5:$C$186&gt;=7)*(commission_calc!$C$5:$C$186&lt;=9)*commission_calc!$K$5:$K$186)</f>
        <v>42000</v>
      </c>
      <c r="N16" s="53">
        <f>SUMPRODUCT((commission_calc!$B$5:$B$186=A16)*(commission_calc!$C$5:$C$186&gt;=7)*(commission_calc!$C$5:$C$186&lt;=9)*commission_calc!$J$5:$J$186)</f>
        <v>45000</v>
      </c>
      <c r="O16" s="62">
        <f t="shared" si="2"/>
        <v>0.93333333333333335</v>
      </c>
      <c r="P16" s="69">
        <f>IF(O16&gt;=1.2,4000,IF(O16&gt;=1,2000,IF(O16&gt;=0.8,750,0)))</f>
        <v>750</v>
      </c>
      <c r="Q16" s="53">
        <f>SUMPRODUCT((commission_calc!$B$5:$B$186=A16)*(commission_calc!$C$5:$C$186&gt;=10)*(commission_calc!$C$5:$C$186&lt;=12)*commission_calc!$K$5:$K$186)</f>
        <v>44000</v>
      </c>
      <c r="R16" s="53">
        <f>SUMPRODUCT((commission_calc!$B$5:$B$186=A16)*(commission_calc!$C$5:$C$186&gt;=10)*(commission_calc!$C$5:$C$186&lt;=12)*commission_calc!$J$5:$J$186)</f>
        <v>45000</v>
      </c>
      <c r="S16" s="62">
        <f t="shared" si="3"/>
        <v>0.97777777777777775</v>
      </c>
      <c r="T16" s="69">
        <f>IF(S16&gt;=1.2,4000,IF(S16&gt;=1,2000,IF(S16&gt;=0.8,750,0)))</f>
        <v>750</v>
      </c>
      <c r="U16" s="57">
        <f t="shared" si="4"/>
        <v>9500</v>
      </c>
    </row>
    <row r="17" spans="1:21" ht="15" customHeight="1" x14ac:dyDescent="0.35">
      <c r="A17" s="22" t="s">
        <v>166</v>
      </c>
      <c r="B17" s="49" t="str">
        <f>VLOOKUP(A17,rep_roster!$A:$B,2,0)</f>
        <v>Nina Patel</v>
      </c>
      <c r="C17" s="58" t="str">
        <f>VLOOKUP(A17,rep_roster!$A:$C,3,0)</f>
        <v>SDR</v>
      </c>
      <c r="D17" s="58" t="str">
        <f>VLOOKUP(A17,rep_roster!$A:$D,4,0)</f>
        <v>SMB</v>
      </c>
      <c r="E17" s="60">
        <f>SUMPRODUCT((commission_calc!$B$5:$B$186=A17)*(commission_calc!$C$5:$C$186&gt;=1)*(commission_calc!$C$5:$C$186&lt;=3)*commission_calc!$K$5:$K$186)</f>
        <v>59</v>
      </c>
      <c r="F17" s="60">
        <f>SUMPRODUCT((commission_calc!$B$5:$B$186=A17)*(commission_calc!$C$5:$C$186&gt;=1)*(commission_calc!$C$5:$C$186&lt;=3)*commission_calc!$J$5:$J$186)</f>
        <v>48</v>
      </c>
      <c r="G17" s="59">
        <f t="shared" si="0"/>
        <v>1.2291666666666667</v>
      </c>
      <c r="H17" s="69">
        <f>IF(G17&gt;=1.2,2000,IF(G17&gt;=1,1000,IF(G17&gt;=0.8,500,0)))</f>
        <v>2000</v>
      </c>
      <c r="I17" s="60">
        <f>SUMPRODUCT((commission_calc!$B$5:$B$186=A17)*(commission_calc!$C$5:$C$186&gt;=4)*(commission_calc!$C$5:$C$186&lt;=6)*commission_calc!$K$5:$K$186)</f>
        <v>51</v>
      </c>
      <c r="J17" s="60">
        <f>SUMPRODUCT((commission_calc!$B$5:$B$186=A17)*(commission_calc!$C$5:$C$186&gt;=4)*(commission_calc!$C$5:$C$186&lt;=6)*commission_calc!$J$5:$J$186)</f>
        <v>48</v>
      </c>
      <c r="K17" s="59">
        <f t="shared" si="1"/>
        <v>1.0625</v>
      </c>
      <c r="L17" s="69">
        <f>IF(K17&gt;=1.2,2000,IF(K17&gt;=1,1000,IF(K17&gt;=0.8,500,0)))</f>
        <v>1000</v>
      </c>
      <c r="M17" s="60">
        <f>SUMPRODUCT((commission_calc!$B$5:$B$186=A17)*(commission_calc!$C$5:$C$186&gt;=7)*(commission_calc!$C$5:$C$186&lt;=9)*commission_calc!$K$5:$K$186)</f>
        <v>40</v>
      </c>
      <c r="N17" s="60">
        <f>SUMPRODUCT((commission_calc!$B$5:$B$186=A17)*(commission_calc!$C$5:$C$186&gt;=7)*(commission_calc!$C$5:$C$186&lt;=9)*commission_calc!$J$5:$J$186)</f>
        <v>48</v>
      </c>
      <c r="O17" s="59">
        <f t="shared" si="2"/>
        <v>0.83333333333333337</v>
      </c>
      <c r="P17" s="69">
        <f>IF(O17&gt;=1.2,2000,IF(O17&gt;=1,1000,IF(O17&gt;=0.8,500,0)))</f>
        <v>500</v>
      </c>
      <c r="Q17" s="60">
        <f>SUMPRODUCT((commission_calc!$B$5:$B$186=A17)*(commission_calc!$C$5:$C$186&gt;=10)*(commission_calc!$C$5:$C$186&lt;=12)*commission_calc!$K$5:$K$186)</f>
        <v>44</v>
      </c>
      <c r="R17" s="60">
        <f>SUMPRODUCT((commission_calc!$B$5:$B$186=A17)*(commission_calc!$C$5:$C$186&gt;=10)*(commission_calc!$C$5:$C$186&lt;=12)*commission_calc!$J$5:$J$186)</f>
        <v>48</v>
      </c>
      <c r="S17" s="59">
        <f t="shared" si="3"/>
        <v>0.91666666666666663</v>
      </c>
      <c r="T17" s="69">
        <f>IF(S17&gt;=1.2,2000,IF(S17&gt;=1,1000,IF(S17&gt;=0.8,500,0)))</f>
        <v>500</v>
      </c>
      <c r="U17" s="57">
        <f t="shared" si="4"/>
        <v>4000</v>
      </c>
    </row>
    <row r="18" spans="1:21" ht="15" customHeight="1" x14ac:dyDescent="0.35">
      <c r="A18" s="25" t="s">
        <v>168</v>
      </c>
      <c r="B18" s="52" t="str">
        <f>VLOOKUP(A18,rep_roster!$A:$B,2,0)</f>
        <v>Derek Washington</v>
      </c>
      <c r="C18" s="61" t="str">
        <f>VLOOKUP(A18,rep_roster!$A:$C,3,0)</f>
        <v>SDR</v>
      </c>
      <c r="D18" s="61" t="str">
        <f>VLOOKUP(A18,rep_roster!$A:$D,4,0)</f>
        <v>SMB</v>
      </c>
      <c r="E18" s="63">
        <f>SUMPRODUCT((commission_calc!$B$5:$B$186=A18)*(commission_calc!$C$5:$C$186&gt;=1)*(commission_calc!$C$5:$C$186&lt;=3)*commission_calc!$K$5:$K$186)</f>
        <v>54</v>
      </c>
      <c r="F18" s="63">
        <f>SUMPRODUCT((commission_calc!$B$5:$B$186=A18)*(commission_calc!$C$5:$C$186&gt;=1)*(commission_calc!$C$5:$C$186&lt;=3)*commission_calc!$J$5:$J$186)</f>
        <v>48</v>
      </c>
      <c r="G18" s="62">
        <f t="shared" si="0"/>
        <v>1.125</v>
      </c>
      <c r="H18" s="69">
        <f>IF(G18&gt;=1.2,2000,IF(G18&gt;=1,1000,IF(G18&gt;=0.8,500,0)))</f>
        <v>1000</v>
      </c>
      <c r="I18" s="63">
        <f>SUMPRODUCT((commission_calc!$B$5:$B$186=A18)*(commission_calc!$C$5:$C$186&gt;=4)*(commission_calc!$C$5:$C$186&lt;=6)*commission_calc!$K$5:$K$186)</f>
        <v>48</v>
      </c>
      <c r="J18" s="63">
        <f>SUMPRODUCT((commission_calc!$B$5:$B$186=A18)*(commission_calc!$C$5:$C$186&gt;=4)*(commission_calc!$C$5:$C$186&lt;=6)*commission_calc!$J$5:$J$186)</f>
        <v>48</v>
      </c>
      <c r="K18" s="62">
        <f t="shared" si="1"/>
        <v>1</v>
      </c>
      <c r="L18" s="69">
        <f>IF(K18&gt;=1.2,2000,IF(K18&gt;=1,1000,IF(K18&gt;=0.8,500,0)))</f>
        <v>1000</v>
      </c>
      <c r="M18" s="63">
        <f>SUMPRODUCT((commission_calc!$B$5:$B$186=A18)*(commission_calc!$C$5:$C$186&gt;=7)*(commission_calc!$C$5:$C$186&lt;=9)*commission_calc!$K$5:$K$186)</f>
        <v>39</v>
      </c>
      <c r="N18" s="63">
        <f>SUMPRODUCT((commission_calc!$B$5:$B$186=A18)*(commission_calc!$C$5:$C$186&gt;=7)*(commission_calc!$C$5:$C$186&lt;=9)*commission_calc!$J$5:$J$186)</f>
        <v>48</v>
      </c>
      <c r="O18" s="62">
        <f t="shared" si="2"/>
        <v>0.8125</v>
      </c>
      <c r="P18" s="69">
        <f>IF(O18&gt;=1.2,2000,IF(O18&gt;=1,1000,IF(O18&gt;=0.8,500,0)))</f>
        <v>500</v>
      </c>
      <c r="Q18" s="63">
        <f>SUMPRODUCT((commission_calc!$B$5:$B$186=A18)*(commission_calc!$C$5:$C$186&gt;=10)*(commission_calc!$C$5:$C$186&lt;=12)*commission_calc!$K$5:$K$186)</f>
        <v>42</v>
      </c>
      <c r="R18" s="63">
        <f>SUMPRODUCT((commission_calc!$B$5:$B$186=A18)*(commission_calc!$C$5:$C$186&gt;=10)*(commission_calc!$C$5:$C$186&lt;=12)*commission_calc!$J$5:$J$186)</f>
        <v>48</v>
      </c>
      <c r="S18" s="62">
        <f t="shared" si="3"/>
        <v>0.875</v>
      </c>
      <c r="T18" s="69">
        <f>IF(S18&gt;=1.2,2000,IF(S18&gt;=1,1000,IF(S18&gt;=0.8,500,0)))</f>
        <v>500</v>
      </c>
      <c r="U18" s="57">
        <f t="shared" si="4"/>
        <v>3000</v>
      </c>
    </row>
    <row r="19" spans="1:21" ht="15" customHeight="1" x14ac:dyDescent="0.35">
      <c r="A19" s="22" t="s">
        <v>172</v>
      </c>
      <c r="B19" s="49" t="str">
        <f>VLOOKUP(A19,rep_roster!$A:$B,2,0)</f>
        <v>Brandon Cole</v>
      </c>
      <c r="C19" s="58" t="str">
        <f>VLOOKUP(A19,rep_roster!$A:$C,3,0)</f>
        <v>AE</v>
      </c>
      <c r="D19" s="58" t="str">
        <f>VLOOKUP(A19,rep_roster!$A:$D,4,0)</f>
        <v>SMB</v>
      </c>
      <c r="E19" s="50">
        <f>SUMPRODUCT((commission_calc!$B$5:$B$186=A19)*(commission_calc!$C$5:$C$186&gt;=1)*(commission_calc!$C$5:$C$186&lt;=3)*commission_calc!$K$5:$K$186)</f>
        <v>53000</v>
      </c>
      <c r="F19" s="50">
        <f>SUMPRODUCT((commission_calc!$B$5:$B$186=A19)*(commission_calc!$C$5:$C$186&gt;=1)*(commission_calc!$C$5:$C$186&lt;=3)*commission_calc!$J$5:$J$186)</f>
        <v>75000</v>
      </c>
      <c r="G19" s="59">
        <f t="shared" si="0"/>
        <v>0.70666666666666667</v>
      </c>
      <c r="H19" s="69">
        <f>IF(G19&gt;=1.2,5000,IF(G19&gt;=1,3000,IF(G19&gt;=0.8,1000,0)))</f>
        <v>0</v>
      </c>
      <c r="I19" s="50">
        <f>SUMPRODUCT((commission_calc!$B$5:$B$186=A19)*(commission_calc!$C$5:$C$186&gt;=4)*(commission_calc!$C$5:$C$186&lt;=6)*commission_calc!$K$5:$K$186)</f>
        <v>46000</v>
      </c>
      <c r="J19" s="50">
        <f>SUMPRODUCT((commission_calc!$B$5:$B$186=A19)*(commission_calc!$C$5:$C$186&gt;=4)*(commission_calc!$C$5:$C$186&lt;=6)*commission_calc!$J$5:$J$186)</f>
        <v>75000</v>
      </c>
      <c r="K19" s="59">
        <f t="shared" si="1"/>
        <v>0.61333333333333329</v>
      </c>
      <c r="L19" s="69">
        <f>IF(K19&gt;=1.2,5000,IF(K19&gt;=1,3000,IF(K19&gt;=0.8,1000,0)))</f>
        <v>0</v>
      </c>
      <c r="M19" s="50">
        <f>SUMPRODUCT((commission_calc!$B$5:$B$186=A19)*(commission_calc!$C$5:$C$186&gt;=7)*(commission_calc!$C$5:$C$186&lt;=9)*commission_calc!$K$5:$K$186)</f>
        <v>0</v>
      </c>
      <c r="N19" s="50">
        <f>SUMPRODUCT((commission_calc!$B$5:$B$186=A19)*(commission_calc!$C$5:$C$186&gt;=7)*(commission_calc!$C$5:$C$186&lt;=9)*commission_calc!$J$5:$J$186)</f>
        <v>0</v>
      </c>
      <c r="O19" s="59">
        <f t="shared" si="2"/>
        <v>0</v>
      </c>
      <c r="P19" s="69">
        <f>IF(O19&gt;=1.2,5000,IF(O19&gt;=1,3000,IF(O19&gt;=0.8,1000,0)))</f>
        <v>0</v>
      </c>
      <c r="Q19" s="50">
        <f>SUMPRODUCT((commission_calc!$B$5:$B$186=A19)*(commission_calc!$C$5:$C$186&gt;=10)*(commission_calc!$C$5:$C$186&lt;=12)*commission_calc!$K$5:$K$186)</f>
        <v>0</v>
      </c>
      <c r="R19" s="50">
        <f>SUMPRODUCT((commission_calc!$B$5:$B$186=A19)*(commission_calc!$C$5:$C$186&gt;=10)*(commission_calc!$C$5:$C$186&lt;=12)*commission_calc!$J$5:$J$186)</f>
        <v>0</v>
      </c>
      <c r="S19" s="59">
        <f t="shared" si="3"/>
        <v>0</v>
      </c>
      <c r="T19" s="69">
        <f>IF(S19&gt;=1.2,5000,IF(S19&gt;=1,3000,IF(S19&gt;=0.8,1000,0)))</f>
        <v>0</v>
      </c>
      <c r="U19" s="57">
        <f t="shared" si="4"/>
        <v>0</v>
      </c>
    </row>
    <row r="20" spans="1:21" ht="15" customHeight="1" x14ac:dyDescent="0.35">
      <c r="A20" s="25" t="s">
        <v>174</v>
      </c>
      <c r="B20" s="52" t="str">
        <f>VLOOKUP(A20,rep_roster!$A:$B,2,0)</f>
        <v>Stephanie Kim</v>
      </c>
      <c r="C20" s="61" t="str">
        <f>VLOOKUP(A20,rep_roster!$A:$C,3,0)</f>
        <v>AE</v>
      </c>
      <c r="D20" s="61" t="str">
        <f>VLOOKUP(A20,rep_roster!$A:$D,4,0)</f>
        <v>SMB</v>
      </c>
      <c r="E20" s="53">
        <f>SUMPRODUCT((commission_calc!$B$5:$B$186=A20)*(commission_calc!$C$5:$C$186&gt;=1)*(commission_calc!$C$5:$C$186&lt;=3)*commission_calc!$K$5:$K$186)</f>
        <v>0</v>
      </c>
      <c r="F20" s="53">
        <f>SUMPRODUCT((commission_calc!$B$5:$B$186=A20)*(commission_calc!$C$5:$C$186&gt;=1)*(commission_calc!$C$5:$C$186&lt;=3)*commission_calc!$J$5:$J$186)</f>
        <v>0</v>
      </c>
      <c r="G20" s="62">
        <f t="shared" si="0"/>
        <v>0</v>
      </c>
      <c r="H20" s="69">
        <f>IF(G20&gt;=1.2,5000,IF(G20&gt;=1,3000,IF(G20&gt;=0.8,1000,0)))</f>
        <v>0</v>
      </c>
      <c r="I20" s="53">
        <f>SUMPRODUCT((commission_calc!$B$5:$B$186=A20)*(commission_calc!$C$5:$C$186&gt;=4)*(commission_calc!$C$5:$C$186&lt;=6)*commission_calc!$K$5:$K$186)</f>
        <v>0</v>
      </c>
      <c r="J20" s="53">
        <f>SUMPRODUCT((commission_calc!$B$5:$B$186=A20)*(commission_calc!$C$5:$C$186&gt;=4)*(commission_calc!$C$5:$C$186&lt;=6)*commission_calc!$J$5:$J$186)</f>
        <v>0</v>
      </c>
      <c r="K20" s="62">
        <f t="shared" si="1"/>
        <v>0</v>
      </c>
      <c r="L20" s="69">
        <f>IF(K20&gt;=1.2,5000,IF(K20&gt;=1,3000,IF(K20&gt;=0.8,1000,0)))</f>
        <v>0</v>
      </c>
      <c r="M20" s="53">
        <f>SUMPRODUCT((commission_calc!$B$5:$B$186=A20)*(commission_calc!$C$5:$C$186&gt;=7)*(commission_calc!$C$5:$C$186&lt;=9)*commission_calc!$K$5:$K$186)</f>
        <v>52000</v>
      </c>
      <c r="N20" s="53">
        <f>SUMPRODUCT((commission_calc!$B$5:$B$186=A20)*(commission_calc!$C$5:$C$186&gt;=7)*(commission_calc!$C$5:$C$186&lt;=9)*commission_calc!$J$5:$J$186)</f>
        <v>52500</v>
      </c>
      <c r="O20" s="62">
        <f t="shared" si="2"/>
        <v>0.99047619047619051</v>
      </c>
      <c r="P20" s="69">
        <f>IF(O20&gt;=1.2,5000,IF(O20&gt;=1,3000,IF(O20&gt;=0.8,1000,0)))</f>
        <v>1000</v>
      </c>
      <c r="Q20" s="53">
        <f>SUMPRODUCT((commission_calc!$B$5:$B$186=A20)*(commission_calc!$C$5:$C$186&gt;=10)*(commission_calc!$C$5:$C$186&lt;=12)*commission_calc!$K$5:$K$186)</f>
        <v>71000</v>
      </c>
      <c r="R20" s="53">
        <f>SUMPRODUCT((commission_calc!$B$5:$B$186=A20)*(commission_calc!$C$5:$C$186&gt;=10)*(commission_calc!$C$5:$C$186&lt;=12)*commission_calc!$J$5:$J$186)</f>
        <v>75000</v>
      </c>
      <c r="S20" s="62">
        <f t="shared" si="3"/>
        <v>0.94666666666666666</v>
      </c>
      <c r="T20" s="69">
        <f>IF(S20&gt;=1.2,5000,IF(S20&gt;=1,3000,IF(S20&gt;=0.8,1000,0)))</f>
        <v>1000</v>
      </c>
      <c r="U20" s="57">
        <f t="shared" si="4"/>
        <v>2000</v>
      </c>
    </row>
    <row r="21" spans="1:21" ht="15" customHeight="1" x14ac:dyDescent="0.35">
      <c r="A21" s="22" t="s">
        <v>177</v>
      </c>
      <c r="B21" s="49" t="str">
        <f>VLOOKUP(A21,rep_roster!$A:$B,2,0)</f>
        <v>Amy Chen</v>
      </c>
      <c r="C21" s="58" t="str">
        <f>VLOOKUP(A21,rep_roster!$A:$C,3,0)</f>
        <v>AE</v>
      </c>
      <c r="D21" s="58" t="str">
        <f>VLOOKUP(A21,rep_roster!$A:$D,4,0)</f>
        <v>SMB</v>
      </c>
      <c r="E21" s="50">
        <f>SUMPRODUCT((commission_calc!$B$5:$B$186=A21)*(commission_calc!$C$5:$C$186&gt;=1)*(commission_calc!$C$5:$C$186&lt;=3)*commission_calc!$K$5:$K$186)</f>
        <v>96000</v>
      </c>
      <c r="F21" s="50">
        <f>SUMPRODUCT((commission_calc!$B$5:$B$186=A21)*(commission_calc!$C$5:$C$186&gt;=1)*(commission_calc!$C$5:$C$186&lt;=3)*commission_calc!$J$5:$J$186)</f>
        <v>75000</v>
      </c>
      <c r="G21" s="59">
        <f t="shared" si="0"/>
        <v>1.28</v>
      </c>
      <c r="H21" s="69">
        <f>IF(G21&gt;=1.2,5000,IF(G21&gt;=1,3000,IF(G21&gt;=0.8,1000,0)))</f>
        <v>5000</v>
      </c>
      <c r="I21" s="50">
        <f>SUMPRODUCT((commission_calc!$B$5:$B$186=A21)*(commission_calc!$C$5:$C$186&gt;=4)*(commission_calc!$C$5:$C$186&lt;=6)*commission_calc!$K$5:$K$186)</f>
        <v>85000</v>
      </c>
      <c r="J21" s="50">
        <f>SUMPRODUCT((commission_calc!$B$5:$B$186=A21)*(commission_calc!$C$5:$C$186&gt;=4)*(commission_calc!$C$5:$C$186&lt;=6)*commission_calc!$J$5:$J$186)</f>
        <v>75000</v>
      </c>
      <c r="K21" s="59">
        <f t="shared" si="1"/>
        <v>1.1333333333333333</v>
      </c>
      <c r="L21" s="69">
        <f>IF(K21&gt;=1.2,5000,IF(K21&gt;=1,3000,IF(K21&gt;=0.8,1000,0)))</f>
        <v>3000</v>
      </c>
      <c r="M21" s="50">
        <f>SUMPRODUCT((commission_calc!$B$5:$B$186=A21)*(commission_calc!$C$5:$C$186&gt;=7)*(commission_calc!$C$5:$C$186&lt;=9)*commission_calc!$K$5:$K$186)</f>
        <v>67000</v>
      </c>
      <c r="N21" s="50">
        <f>SUMPRODUCT((commission_calc!$B$5:$B$186=A21)*(commission_calc!$C$5:$C$186&gt;=7)*(commission_calc!$C$5:$C$186&lt;=9)*commission_calc!$J$5:$J$186)</f>
        <v>75000</v>
      </c>
      <c r="O21" s="59">
        <f t="shared" si="2"/>
        <v>0.89333333333333331</v>
      </c>
      <c r="P21" s="69">
        <f>IF(O21&gt;=1.2,5000,IF(O21&gt;=1,3000,IF(O21&gt;=0.8,1000,0)))</f>
        <v>1000</v>
      </c>
      <c r="Q21" s="50">
        <f>SUMPRODUCT((commission_calc!$B$5:$B$186=A21)*(commission_calc!$C$5:$C$186&gt;=10)*(commission_calc!$C$5:$C$186&lt;=12)*commission_calc!$K$5:$K$186)</f>
        <v>69000</v>
      </c>
      <c r="R21" s="50">
        <f>SUMPRODUCT((commission_calc!$B$5:$B$186=A21)*(commission_calc!$C$5:$C$186&gt;=10)*(commission_calc!$C$5:$C$186&lt;=12)*commission_calc!$J$5:$J$186)</f>
        <v>75000</v>
      </c>
      <c r="S21" s="59">
        <f t="shared" si="3"/>
        <v>0.92</v>
      </c>
      <c r="T21" s="69">
        <f>IF(S21&gt;=1.2,5000,IF(S21&gt;=1,3000,IF(S21&gt;=0.8,1000,0)))</f>
        <v>1000</v>
      </c>
      <c r="U21" s="57">
        <f t="shared" si="4"/>
        <v>10000</v>
      </c>
    </row>
    <row r="22" spans="1:21" ht="15" customHeight="1" x14ac:dyDescent="0.35">
      <c r="A22" s="25" t="s">
        <v>179</v>
      </c>
      <c r="B22" s="52" t="str">
        <f>VLOOKUP(A22,rep_roster!$A:$B,2,0)</f>
        <v>Jennifer Walsh</v>
      </c>
      <c r="C22" s="61" t="str">
        <f>VLOOKUP(A22,rep_roster!$A:$C,3,0)</f>
        <v>CSM</v>
      </c>
      <c r="D22" s="61" t="str">
        <f>VLOOKUP(A22,rep_roster!$A:$D,4,0)</f>
        <v>SMB</v>
      </c>
      <c r="E22" s="53">
        <f>SUMPRODUCT((commission_calc!$B$5:$B$186=A22)*(commission_calc!$C$5:$C$186&gt;=1)*(commission_calc!$C$5:$C$186&lt;=3)*commission_calc!$K$5:$K$186)</f>
        <v>21000</v>
      </c>
      <c r="F22" s="53">
        <f>SUMPRODUCT((commission_calc!$B$5:$B$186=A22)*(commission_calc!$C$5:$C$186&gt;=1)*(commission_calc!$C$5:$C$186&lt;=3)*commission_calc!$J$5:$J$186)</f>
        <v>15000</v>
      </c>
      <c r="G22" s="62">
        <f t="shared" si="0"/>
        <v>1.4</v>
      </c>
      <c r="H22" s="69">
        <f>IF(G22&gt;=1.2,3000,IF(G22&gt;=1,1500,IF(G22&gt;=0.8,500,0)))</f>
        <v>3000</v>
      </c>
      <c r="I22" s="53">
        <f>SUMPRODUCT((commission_calc!$B$5:$B$186=A22)*(commission_calc!$C$5:$C$186&gt;=4)*(commission_calc!$C$5:$C$186&lt;=6)*commission_calc!$K$5:$K$186)</f>
        <v>17500</v>
      </c>
      <c r="J22" s="53">
        <f>SUMPRODUCT((commission_calc!$B$5:$B$186=A22)*(commission_calc!$C$5:$C$186&gt;=4)*(commission_calc!$C$5:$C$186&lt;=6)*commission_calc!$J$5:$J$186)</f>
        <v>15000</v>
      </c>
      <c r="K22" s="62">
        <f t="shared" si="1"/>
        <v>1.1666666666666667</v>
      </c>
      <c r="L22" s="69">
        <f>IF(K22&gt;=1.2,3000,IF(K22&gt;=1,1500,IF(K22&gt;=0.8,500,0)))</f>
        <v>1500</v>
      </c>
      <c r="M22" s="53">
        <f>SUMPRODUCT((commission_calc!$B$5:$B$186=A22)*(commission_calc!$C$5:$C$186&gt;=7)*(commission_calc!$C$5:$C$186&lt;=9)*commission_calc!$K$5:$K$186)</f>
        <v>13000</v>
      </c>
      <c r="N22" s="53">
        <f>SUMPRODUCT((commission_calc!$B$5:$B$186=A22)*(commission_calc!$C$5:$C$186&gt;=7)*(commission_calc!$C$5:$C$186&lt;=9)*commission_calc!$J$5:$J$186)</f>
        <v>15000</v>
      </c>
      <c r="O22" s="62">
        <f t="shared" si="2"/>
        <v>0.8666666666666667</v>
      </c>
      <c r="P22" s="69">
        <f>IF(O22&gt;=1.2,3000,IF(O22&gt;=1,1500,IF(O22&gt;=0.8,500,0)))</f>
        <v>500</v>
      </c>
      <c r="Q22" s="53">
        <f>SUMPRODUCT((commission_calc!$B$5:$B$186=A22)*(commission_calc!$C$5:$C$186&gt;=10)*(commission_calc!$C$5:$C$186&lt;=12)*commission_calc!$K$5:$K$186)</f>
        <v>12500</v>
      </c>
      <c r="R22" s="53">
        <f>SUMPRODUCT((commission_calc!$B$5:$B$186=A22)*(commission_calc!$C$5:$C$186&gt;=10)*(commission_calc!$C$5:$C$186&lt;=12)*commission_calc!$J$5:$J$186)</f>
        <v>15000</v>
      </c>
      <c r="S22" s="62">
        <f t="shared" si="3"/>
        <v>0.83333333333333337</v>
      </c>
      <c r="T22" s="69">
        <f>IF(S22&gt;=1.2,3000,IF(S22&gt;=1,1500,IF(S22&gt;=0.8,500,0)))</f>
        <v>500</v>
      </c>
      <c r="U22" s="57">
        <f t="shared" si="4"/>
        <v>5500</v>
      </c>
    </row>
    <row r="23" spans="1:21" ht="15" customHeight="1" x14ac:dyDescent="0.35">
      <c r="A23" s="56" t="s">
        <v>181</v>
      </c>
      <c r="B23" s="56"/>
      <c r="C23" s="56"/>
      <c r="D23" s="56"/>
      <c r="E23" s="57">
        <f>SUM(E5:E22)</f>
        <v>1446213</v>
      </c>
      <c r="F23" s="57">
        <f>SUM(F5:F22)</f>
        <v>1125180</v>
      </c>
      <c r="G23" s="56"/>
      <c r="H23" s="57">
        <f>SUM(H5:H22)</f>
        <v>66500</v>
      </c>
      <c r="I23" s="57">
        <f>SUM(I5:I22)</f>
        <v>1235687</v>
      </c>
      <c r="J23" s="57">
        <f>SUM(J5:J22)</f>
        <v>1125180</v>
      </c>
      <c r="K23" s="56"/>
      <c r="L23" s="57">
        <f>SUM(L5:L22)</f>
        <v>36150</v>
      </c>
      <c r="M23" s="57">
        <f>SUM(M5:M22)</f>
        <v>992159</v>
      </c>
      <c r="N23" s="57">
        <f>SUM(N5:N22)</f>
        <v>1102691</v>
      </c>
      <c r="O23" s="56"/>
      <c r="P23" s="57">
        <f>SUM(P5:P22)</f>
        <v>14800</v>
      </c>
      <c r="Q23" s="57">
        <f>SUM(Q5:Q22)</f>
        <v>957665</v>
      </c>
      <c r="R23" s="57">
        <f>SUM(R5:R22)</f>
        <v>1089180</v>
      </c>
      <c r="S23" s="56" t="s">
        <v>238</v>
      </c>
      <c r="T23" s="57">
        <f>SUM(T5:T22)</f>
        <v>13800</v>
      </c>
      <c r="U23" s="57">
        <f>SUM(U5:U22)</f>
        <v>131250</v>
      </c>
    </row>
  </sheetData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86DE"/>
  </sheetPr>
  <dimension ref="A1:N33"/>
  <sheetViews>
    <sheetView showGridLines="0" tabSelected="1" zoomScale="47" zoomScaleNormal="100" workbookViewId="0">
      <pane ySplit="4" topLeftCell="A5" activePane="bottomLeft" state="frozen"/>
      <selection pane="bottomLeft" activeCell="C15" sqref="C15"/>
    </sheetView>
  </sheetViews>
  <sheetFormatPr defaultColWidth="8.6328125" defaultRowHeight="14.5" x14ac:dyDescent="0.35"/>
  <cols>
    <col min="1" max="14" width="18" customWidth="1"/>
  </cols>
  <sheetData>
    <row r="1" spans="1:14" ht="30" customHeight="1" x14ac:dyDescent="0.3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5">
      <c r="A2" s="13" t="s">
        <v>240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6" customHeight="1" x14ac:dyDescent="0.35"/>
    <row r="4" spans="1:14" ht="18" customHeight="1" x14ac:dyDescent="0.35">
      <c r="A4" s="12" t="s">
        <v>241</v>
      </c>
      <c r="B4" s="12"/>
      <c r="C4" s="12"/>
      <c r="D4" s="12"/>
      <c r="E4" s="12"/>
      <c r="F4" s="12"/>
      <c r="G4" s="12"/>
      <c r="H4" s="12"/>
      <c r="I4" s="12"/>
      <c r="J4" s="12"/>
    </row>
    <row r="5" spans="1:14" ht="15" customHeight="1" x14ac:dyDescent="0.35">
      <c r="A5" s="19" t="s">
        <v>21</v>
      </c>
      <c r="B5" s="19" t="s">
        <v>242</v>
      </c>
      <c r="C5" s="19" t="s">
        <v>243</v>
      </c>
      <c r="D5" s="19" t="s">
        <v>244</v>
      </c>
      <c r="E5" s="19" t="s">
        <v>245</v>
      </c>
      <c r="F5" s="19" t="s">
        <v>246</v>
      </c>
      <c r="G5" s="19" t="s">
        <v>247</v>
      </c>
      <c r="H5" s="19" t="s">
        <v>248</v>
      </c>
      <c r="I5" s="19" t="s">
        <v>249</v>
      </c>
    </row>
    <row r="6" spans="1:14" ht="15" customHeight="1" x14ac:dyDescent="0.35">
      <c r="A6" s="28" t="s">
        <v>31</v>
      </c>
      <c r="B6" s="32">
        <v>1800000</v>
      </c>
      <c r="C6" s="50">
        <f>SUMPRODUCT((commission_calc!$F$5:$F$186="Enterprise")*(commission_calc!$E$5:$E$186="AE")*commission_calc!$K$5:$K$186)</f>
        <v>1932000</v>
      </c>
      <c r="D6" s="75">
        <f>IF(B6&gt;0,C6/B6,0)</f>
        <v>1.0733333333333333</v>
      </c>
      <c r="E6" s="22">
        <v>2</v>
      </c>
    </row>
    <row r="7" spans="1:14" ht="15" customHeight="1" x14ac:dyDescent="0.35">
      <c r="A7" s="29" t="s">
        <v>34</v>
      </c>
      <c r="B7" s="38">
        <v>1200000</v>
      </c>
      <c r="C7" s="53">
        <f>SUMPRODUCT((commission_calc!$F$5:$F$186="Mid-Market")*(commission_calc!$E$5:$E$186="AE")*commission_calc!$K$5:$K$186)</f>
        <v>1274000</v>
      </c>
      <c r="D7" s="76">
        <f>IF(B7&gt;0,C7/B7,0)</f>
        <v>1.0616666666666668</v>
      </c>
      <c r="E7" s="25">
        <v>2</v>
      </c>
    </row>
    <row r="8" spans="1:14" ht="15" customHeight="1" x14ac:dyDescent="0.35">
      <c r="A8" s="28" t="s">
        <v>37</v>
      </c>
      <c r="B8" s="32">
        <v>900000</v>
      </c>
      <c r="C8" s="50">
        <f>SUMPRODUCT((commission_calc!$F$5:$F$186="SMB")*(commission_calc!$E$5:$E$186="AE")*commission_calc!$K$5:$K$186)</f>
        <v>539000</v>
      </c>
      <c r="D8" s="75">
        <f>IF(B8&gt;0,C8/B8,0)</f>
        <v>0.59888888888888892</v>
      </c>
      <c r="E8" s="22">
        <v>3</v>
      </c>
    </row>
    <row r="10" spans="1:14" ht="18" customHeight="1" x14ac:dyDescent="0.35">
      <c r="A10" s="12" t="s">
        <v>250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4" ht="15" customHeight="1" x14ac:dyDescent="0.35">
      <c r="A11" s="19" t="s">
        <v>70</v>
      </c>
      <c r="B11" s="19" t="s">
        <v>21</v>
      </c>
      <c r="C11" s="19" t="s">
        <v>251</v>
      </c>
      <c r="D11" s="19" t="s">
        <v>252</v>
      </c>
      <c r="E11" s="19" t="s">
        <v>253</v>
      </c>
      <c r="F11" s="19" t="s">
        <v>254</v>
      </c>
      <c r="G11" s="19" t="s">
        <v>255</v>
      </c>
      <c r="H11" s="19" t="s">
        <v>256</v>
      </c>
    </row>
    <row r="12" spans="1:14" ht="15" customHeight="1" x14ac:dyDescent="0.35">
      <c r="A12" s="28" t="s">
        <v>81</v>
      </c>
      <c r="B12" s="20" t="s">
        <v>31</v>
      </c>
      <c r="C12" s="50">
        <f>SUMPRODUCT((commission_calc!$E$5:$E$186="SDR")*(commission_calc!$F$5:$F$186="Enterprise")*commission_calc!$I$5:$I$186)</f>
        <v>61999.999999999993</v>
      </c>
      <c r="D12" s="50">
        <f>SUMPRODUCT((commission_calc!$E$5:$E$186="SDR")*(commission_calc!$F$5:$F$186="Enterprise")*commission_calc!$U$5:$U$186)</f>
        <v>26700.3</v>
      </c>
      <c r="E12" s="50">
        <f>SUMPRODUCT((quarterly_bonus!$C$5:$C$22="SDR")*(quarterly_bonus!$D$5:$D$22="Enterprise")*(quarterly_bonus!$H$5:$H$22+quarterly_bonus!$L$5:$L$22+quarterly_bonus!$P$5:$P$22))</f>
        <v>2250</v>
      </c>
      <c r="F12" s="69">
        <f t="shared" ref="F12:F20" si="0">C12+D12+E12</f>
        <v>90950.299999999988</v>
      </c>
      <c r="G12" s="22">
        <v>1</v>
      </c>
      <c r="H12" s="50">
        <f t="shared" ref="H12:H20" si="1">IF(G12&gt;0,F12/G12,0)</f>
        <v>90950.299999999988</v>
      </c>
    </row>
    <row r="13" spans="1:14" ht="15" customHeight="1" x14ac:dyDescent="0.35">
      <c r="A13" s="29" t="s">
        <v>81</v>
      </c>
      <c r="B13" s="23" t="s">
        <v>34</v>
      </c>
      <c r="C13" s="53">
        <f>SUMPRODUCT((commission_calc!$E$5:$E$186="SDR")*(commission_calc!$F$5:$F$186="Mid-Market")*commission_calc!$I$5:$I$186)</f>
        <v>119166.66666666663</v>
      </c>
      <c r="D13" s="53">
        <f>SUMPRODUCT((commission_calc!$E$5:$E$186="SDR")*(commission_calc!$F$5:$F$186="Mid-Market")*commission_calc!$U$5:$U$186)</f>
        <v>52271</v>
      </c>
      <c r="E13" s="53">
        <f>SUMPRODUCT((quarterly_bonus!$C$5:$C$22="SDR")*(quarterly_bonus!$D$5:$D$22="Mid-Market")*(quarterly_bonus!$H$5:$H$22+quarterly_bonus!$L$5:$L$22+quarterly_bonus!$P$5:$P$22))</f>
        <v>9200</v>
      </c>
      <c r="F13" s="69">
        <f t="shared" si="0"/>
        <v>180637.66666666663</v>
      </c>
      <c r="G13" s="25">
        <v>2</v>
      </c>
      <c r="H13" s="53">
        <f t="shared" si="1"/>
        <v>90318.833333333314</v>
      </c>
    </row>
    <row r="14" spans="1:14" ht="15" customHeight="1" x14ac:dyDescent="0.35">
      <c r="A14" s="28" t="s">
        <v>81</v>
      </c>
      <c r="B14" s="20" t="s">
        <v>37</v>
      </c>
      <c r="C14" s="50" cm="1">
        <f t="array" ref="C14">SUMPRODUCT((commission_calc!$E$5:$E$186="SDR")*(commission_calc!$F$5:$F$186="SMB")*commission_calc!$I$5:$I$186)</f>
        <v>96000</v>
      </c>
      <c r="D14" s="50">
        <f>SUMPRODUCT((commission_calc!$E$5:$E$186="SDR")*(commission_calc!$F$5:$F$186="SMB")*commission_calc!$U$5:$U$186)</f>
        <v>35582.199999999997</v>
      </c>
      <c r="E14" s="50">
        <f>SUMPRODUCT((quarterly_bonus!$C$5:$C$22="SDR")*(quarterly_bonus!$D$5:$D$22="SMB")*(quarterly_bonus!$H$5:$H$22+quarterly_bonus!$L$5:$L$22+quarterly_bonus!$P$5:$P$22))</f>
        <v>6000</v>
      </c>
      <c r="F14" s="69">
        <f t="shared" si="0"/>
        <v>137582.20000000001</v>
      </c>
      <c r="G14" s="22">
        <v>2</v>
      </c>
      <c r="H14" s="50">
        <f t="shared" si="1"/>
        <v>68791.100000000006</v>
      </c>
    </row>
    <row r="15" spans="1:14" ht="15" customHeight="1" x14ac:dyDescent="0.35">
      <c r="A15" s="29" t="s">
        <v>86</v>
      </c>
      <c r="B15" s="23" t="s">
        <v>31</v>
      </c>
      <c r="C15" s="53">
        <f>SUMPRODUCT((commission_calc!$E$5:$E$186="AE")*(commission_calc!$F$5:$F$186="Enterprise")*commission_calc!$I$5:$I$186)</f>
        <v>189999.99999999997</v>
      </c>
      <c r="D15" s="53">
        <f>SUMPRODUCT((commission_calc!$E$5:$E$186="AE")*(commission_calc!$F$5:$F$186="Enterprise")*commission_calc!$U$5:$U$186)</f>
        <v>242125</v>
      </c>
      <c r="E15" s="53">
        <f>SUMPRODUCT((quarterly_bonus!$C$5:$C$22="AE")*(quarterly_bonus!$D$5:$D$22="Enterprise")*(quarterly_bonus!$H$5:$H$22+quarterly_bonus!$L$5:$L$22+quarterly_bonus!$P$5:$P$22))</f>
        <v>34000</v>
      </c>
      <c r="F15" s="69">
        <f t="shared" si="0"/>
        <v>466125</v>
      </c>
      <c r="G15" s="25">
        <v>2</v>
      </c>
      <c r="H15" s="53">
        <f t="shared" si="1"/>
        <v>233062.5</v>
      </c>
    </row>
    <row r="16" spans="1:14" ht="15" customHeight="1" x14ac:dyDescent="0.35">
      <c r="A16" s="28" t="s">
        <v>86</v>
      </c>
      <c r="B16" s="20" t="s">
        <v>34</v>
      </c>
      <c r="C16" s="50">
        <f>SUMPRODUCT((commission_calc!$E$5:$E$186="AE")*(commission_calc!$F$5:$F$186="Mid-Market")*commission_calc!$I$5:$I$186)</f>
        <v>160000</v>
      </c>
      <c r="D16" s="50">
        <f>SUMPRODUCT((commission_calc!$E$5:$E$186="AE")*(commission_calc!$F$5:$F$186="Mid-Market")*commission_calc!$U$5:$U$186)</f>
        <v>159550</v>
      </c>
      <c r="E16" s="50">
        <f>SUMPRODUCT((quarterly_bonus!$C$5:$C$22="AE")*(quarterly_bonus!$D$5:$D$22="Mid-Market")*(quarterly_bonus!$H$5:$H$22+quarterly_bonus!$L$5:$L$22+quarterly_bonus!$P$5:$P$22))</f>
        <v>27000</v>
      </c>
      <c r="F16" s="69">
        <f t="shared" si="0"/>
        <v>346550</v>
      </c>
      <c r="G16" s="22">
        <v>2</v>
      </c>
      <c r="H16" s="50">
        <f t="shared" si="1"/>
        <v>173275</v>
      </c>
    </row>
    <row r="17" spans="1:8" ht="15" customHeight="1" x14ac:dyDescent="0.35">
      <c r="A17" s="29" t="s">
        <v>86</v>
      </c>
      <c r="B17" s="23" t="s">
        <v>37</v>
      </c>
      <c r="C17" s="53">
        <f>SUMPRODUCT((commission_calc!$E$5:$E$186="AE")*(commission_calc!$F$5:$F$186="SMB")*commission_calc!$I$5:$I$186)</f>
        <v>130000.00000000004</v>
      </c>
      <c r="D17" s="53">
        <f>SUMPRODUCT((commission_calc!$E$5:$E$186="AE")*(commission_calc!$F$5:$F$186="SMB")*commission_calc!$U$5:$U$186)</f>
        <v>61740</v>
      </c>
      <c r="E17" s="53">
        <f>SUMPRODUCT((quarterly_bonus!$C$5:$C$22="AE")*(quarterly_bonus!$D$5:$D$22="SMB")*(quarterly_bonus!$H$5:$H$22+quarterly_bonus!$L$5:$L$22+quarterly_bonus!$P$5:$P$22))</f>
        <v>10000</v>
      </c>
      <c r="F17" s="69">
        <f t="shared" si="0"/>
        <v>201740.00000000006</v>
      </c>
      <c r="G17" s="25">
        <v>3</v>
      </c>
      <c r="H17" s="53">
        <f t="shared" si="1"/>
        <v>67246.666666666686</v>
      </c>
    </row>
    <row r="18" spans="1:8" ht="15" customHeight="1" x14ac:dyDescent="0.35">
      <c r="A18" s="28" t="s">
        <v>90</v>
      </c>
      <c r="B18" s="20" t="s">
        <v>31</v>
      </c>
      <c r="C18" s="50">
        <f>SUMPRODUCT((commission_calc!$E$5:$E$186="CSM")*(commission_calc!$F$5:$F$186="Enterprise")*commission_calc!$I$5:$I$186)</f>
        <v>80000</v>
      </c>
      <c r="D18" s="50">
        <f>SUMPRODUCT((commission_calc!$E$5:$E$186="CSM")*(commission_calc!$F$5:$F$186="Enterprise")*commission_calc!$U$5:$U$186)</f>
        <v>29280</v>
      </c>
      <c r="E18" s="50">
        <f>SUMPRODUCT((quarterly_bonus!$C$5:$C$22="CSM")*(quarterly_bonus!$D$5:$D$22="Enterprise")*(quarterly_bonus!$H$5:$H$22+quarterly_bonus!$L$5:$L$22+quarterly_bonus!$P$5:$P$22))</f>
        <v>8500</v>
      </c>
      <c r="F18" s="69">
        <f t="shared" si="0"/>
        <v>117780</v>
      </c>
      <c r="G18" s="22">
        <v>2</v>
      </c>
      <c r="H18" s="50">
        <f t="shared" si="1"/>
        <v>58890</v>
      </c>
    </row>
    <row r="19" spans="1:8" ht="15" customHeight="1" x14ac:dyDescent="0.35">
      <c r="A19" s="29" t="s">
        <v>90</v>
      </c>
      <c r="B19" s="23" t="s">
        <v>34</v>
      </c>
      <c r="C19" s="53">
        <f>SUMPRODUCT((commission_calc!$E$5:$E$186="CSM")*(commission_calc!$F$5:$F$186="Mid-Market")*commission_calc!$I$5:$I$186)</f>
        <v>139999.99999999997</v>
      </c>
      <c r="D19" s="53">
        <f>SUMPRODUCT((commission_calc!$E$5:$E$186="CSM")*(commission_calc!$F$5:$F$186="Mid-Market")*commission_calc!$U$5:$U$186)</f>
        <v>26508</v>
      </c>
      <c r="E19" s="53">
        <f>SUMPRODUCT((quarterly_bonus!$C$5:$C$22="CSM")*(quarterly_bonus!$D$5:$D$22="Mid-Market")*(quarterly_bonus!$H$5:$H$22+quarterly_bonus!$L$5:$L$22+quarterly_bonus!$P$5:$P$22))</f>
        <v>15500</v>
      </c>
      <c r="F19" s="69">
        <f t="shared" si="0"/>
        <v>182007.99999999997</v>
      </c>
      <c r="G19" s="25">
        <v>2</v>
      </c>
      <c r="H19" s="53">
        <f t="shared" si="1"/>
        <v>91003.999999999985</v>
      </c>
    </row>
    <row r="20" spans="1:8" ht="15" customHeight="1" x14ac:dyDescent="0.35">
      <c r="A20" s="28" t="s">
        <v>90</v>
      </c>
      <c r="B20" s="20" t="s">
        <v>37</v>
      </c>
      <c r="C20" s="50">
        <f>SUMPRODUCT((commission_calc!$E$5:$E$186="CSM")*(commission_calc!$F$5:$F$186="SMB")*commission_calc!$I$5:$I$186)</f>
        <v>60000</v>
      </c>
      <c r="D20" s="50">
        <f>SUMPRODUCT((commission_calc!$E$5:$E$186="CSM")*(commission_calc!$F$5:$F$186="SMB")*commission_calc!$U$5:$U$186)</f>
        <v>4186.5</v>
      </c>
      <c r="E20" s="50">
        <f>SUMPRODUCT((quarterly_bonus!$C$5:$C$22="CSM")*(quarterly_bonus!$D$5:$D$22="SMB")*(quarterly_bonus!$H$5:$H$22+quarterly_bonus!$L$5:$L$22+quarterly_bonus!$P$5:$P$22))</f>
        <v>5000</v>
      </c>
      <c r="F20" s="69">
        <f t="shared" si="0"/>
        <v>69186.5</v>
      </c>
      <c r="G20" s="22">
        <v>1</v>
      </c>
      <c r="H20" s="50">
        <f t="shared" si="1"/>
        <v>69186.5</v>
      </c>
    </row>
    <row r="21" spans="1:8" ht="15" customHeight="1" x14ac:dyDescent="0.35">
      <c r="A21" s="56" t="s">
        <v>257</v>
      </c>
      <c r="B21" s="56"/>
      <c r="C21" s="57">
        <f>SUM(C12:C20)</f>
        <v>1037166.6666666666</v>
      </c>
      <c r="D21" s="57">
        <f>SUM(D12:D20)</f>
        <v>637943</v>
      </c>
      <c r="E21" s="57">
        <f>SUM(E12:E20)</f>
        <v>117450</v>
      </c>
      <c r="F21" s="57">
        <f>SUM(F12:F20)</f>
        <v>1792559.6666666665</v>
      </c>
      <c r="G21" s="56"/>
      <c r="H21" s="56"/>
    </row>
    <row r="23" spans="1:8" ht="18" customHeight="1" x14ac:dyDescent="0.35">
      <c r="A23" s="12" t="s">
        <v>258</v>
      </c>
      <c r="B23" s="12"/>
      <c r="C23" s="12"/>
      <c r="D23" s="12"/>
      <c r="E23" s="12"/>
      <c r="F23" s="12"/>
      <c r="G23" s="12"/>
      <c r="H23" s="12"/>
    </row>
    <row r="24" spans="1:8" ht="15" customHeight="1" x14ac:dyDescent="0.35">
      <c r="A24" s="19" t="s">
        <v>22</v>
      </c>
      <c r="B24" s="19" t="s">
        <v>21</v>
      </c>
      <c r="C24" s="19" t="s">
        <v>259</v>
      </c>
      <c r="D24" s="19" t="s">
        <v>260</v>
      </c>
      <c r="E24" s="19" t="s">
        <v>261</v>
      </c>
      <c r="F24" s="19" t="s">
        <v>30</v>
      </c>
    </row>
    <row r="25" spans="1:8" ht="15" customHeight="1" x14ac:dyDescent="0.35">
      <c r="A25" s="28" t="s">
        <v>32</v>
      </c>
      <c r="B25" s="20" t="s">
        <v>31</v>
      </c>
      <c r="C25" s="50">
        <f>SUMPRODUCT((commission_calc!$F$5:$F$186="Enterprise")*commission_calc!$U$5:$U$186)</f>
        <v>298105.3</v>
      </c>
      <c r="D25" s="35">
        <v>0.02</v>
      </c>
      <c r="E25" s="69">
        <f>C25*D25</f>
        <v>5962.1059999999998</v>
      </c>
      <c r="F25" s="77" t="s">
        <v>262</v>
      </c>
    </row>
    <row r="26" spans="1:8" ht="15" customHeight="1" x14ac:dyDescent="0.35">
      <c r="A26" s="29" t="s">
        <v>35</v>
      </c>
      <c r="B26" s="23" t="s">
        <v>34</v>
      </c>
      <c r="C26" s="53">
        <f>SUMPRODUCT((commission_calc!$F$5:$F$186="Mid-Market")*commission_calc!$U$5:$U$186)</f>
        <v>238329</v>
      </c>
      <c r="D26" s="41">
        <v>0.02</v>
      </c>
      <c r="E26" s="69">
        <f>C26*D26</f>
        <v>4766.58</v>
      </c>
      <c r="F26" s="78" t="s">
        <v>262</v>
      </c>
    </row>
    <row r="27" spans="1:8" ht="15" customHeight="1" x14ac:dyDescent="0.35">
      <c r="A27" s="28" t="s">
        <v>38</v>
      </c>
      <c r="B27" s="20" t="s">
        <v>37</v>
      </c>
      <c r="C27" s="50">
        <f>SUMPRODUCT((commission_calc!$F$5:$F$186="SMB")*commission_calc!$U$5:$U$186)</f>
        <v>101508.7</v>
      </c>
      <c r="D27" s="35">
        <v>0.02</v>
      </c>
      <c r="E27" s="69">
        <f>C27*D27</f>
        <v>2030.174</v>
      </c>
      <c r="F27" s="77" t="s">
        <v>262</v>
      </c>
    </row>
    <row r="29" spans="1:8" ht="18" customHeight="1" x14ac:dyDescent="0.35">
      <c r="A29" s="9" t="s">
        <v>263</v>
      </c>
      <c r="B29" s="9"/>
      <c r="C29" s="9"/>
      <c r="D29" s="9"/>
      <c r="E29" s="9"/>
      <c r="F29" s="9"/>
      <c r="G29" s="9"/>
      <c r="H29" s="9"/>
    </row>
    <row r="30" spans="1:8" ht="15" customHeight="1" x14ac:dyDescent="0.35">
      <c r="A30" s="19" t="s">
        <v>22</v>
      </c>
      <c r="B30" s="19" t="s">
        <v>21</v>
      </c>
      <c r="C30" s="19" t="s">
        <v>71</v>
      </c>
      <c r="D30" s="19" t="s">
        <v>261</v>
      </c>
      <c r="E30" s="19" t="s">
        <v>264</v>
      </c>
      <c r="F30" s="19" t="s">
        <v>265</v>
      </c>
      <c r="G30" s="19" t="s">
        <v>266</v>
      </c>
      <c r="H30" s="19" t="s">
        <v>267</v>
      </c>
    </row>
    <row r="31" spans="1:8" ht="15" customHeight="1" x14ac:dyDescent="0.35">
      <c r="A31" s="28" t="s">
        <v>32</v>
      </c>
      <c r="B31" s="21" t="s">
        <v>31</v>
      </c>
      <c r="C31" s="32">
        <v>110000</v>
      </c>
      <c r="D31" s="50">
        <f>SUMPRODUCT((commission_calc!$F$5:$F$186="Enterprise")*commission_calc!$U$5:$U$186)*0.02</f>
        <v>5962.1059999999998</v>
      </c>
      <c r="E31" s="32">
        <v>15000</v>
      </c>
      <c r="F31" s="57">
        <f>C31+D31+E31</f>
        <v>130962.106</v>
      </c>
      <c r="G31" s="32">
        <v>145000</v>
      </c>
      <c r="H31" s="79">
        <f>F31-G31</f>
        <v>-14037.894</v>
      </c>
    </row>
    <row r="32" spans="1:8" ht="15" customHeight="1" x14ac:dyDescent="0.35">
      <c r="A32" s="29" t="s">
        <v>35</v>
      </c>
      <c r="B32" s="24" t="s">
        <v>34</v>
      </c>
      <c r="C32" s="38">
        <v>110000</v>
      </c>
      <c r="D32" s="53">
        <f>SUMPRODUCT((commission_calc!$F$5:$F$186="Mid-Market")*commission_calc!$U$5:$U$186)*0.02</f>
        <v>4766.58</v>
      </c>
      <c r="E32" s="38">
        <v>15000</v>
      </c>
      <c r="F32" s="57">
        <f>C32+D32+E32</f>
        <v>129766.58</v>
      </c>
      <c r="G32" s="38">
        <v>145000</v>
      </c>
      <c r="H32" s="80">
        <f>F32-G32</f>
        <v>-15233.419999999998</v>
      </c>
    </row>
    <row r="33" spans="1:8" ht="15" customHeight="1" x14ac:dyDescent="0.35">
      <c r="A33" s="28" t="s">
        <v>38</v>
      </c>
      <c r="B33" s="21" t="s">
        <v>37</v>
      </c>
      <c r="C33" s="32">
        <v>110000</v>
      </c>
      <c r="D33" s="50">
        <f>SUMPRODUCT((commission_calc!$F$5:$F$186="SMB")*commission_calc!$U$5:$U$186)*0.02</f>
        <v>2030.174</v>
      </c>
      <c r="E33" s="32">
        <v>15000</v>
      </c>
      <c r="F33" s="57">
        <f>C33+D33+E33</f>
        <v>127030.174</v>
      </c>
      <c r="G33" s="32">
        <v>145000</v>
      </c>
      <c r="H33" s="79">
        <f>F33-G33</f>
        <v>-17969.826000000001</v>
      </c>
    </row>
  </sheetData>
  <mergeCells count="6">
    <mergeCell ref="A29:H29"/>
    <mergeCell ref="A1:N1"/>
    <mergeCell ref="A2:N2"/>
    <mergeCell ref="A4:J4"/>
    <mergeCell ref="A10:J10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2A4A"/>
  </sheetPr>
  <dimension ref="A1:V61"/>
  <sheetViews>
    <sheetView showGridLines="0" zoomScale="34" zoomScaleNormal="60" workbookViewId="0">
      <pane ySplit="4" topLeftCell="A5" activePane="bottomLeft" state="frozen"/>
      <selection pane="bottomLeft" activeCell="AC22" sqref="AC22"/>
    </sheetView>
  </sheetViews>
  <sheetFormatPr defaultColWidth="8.6328125" defaultRowHeight="14.5" x14ac:dyDescent="0.35"/>
  <cols>
    <col min="1" max="1" width="1.1796875" customWidth="1"/>
    <col min="2" max="2" width="1.54296875" customWidth="1"/>
    <col min="3" max="7" width="13.453125" customWidth="1"/>
    <col min="8" max="8" width="1.54296875" customWidth="1"/>
    <col min="9" max="13" width="13.453125" customWidth="1"/>
    <col min="14" max="14" width="1.54296875" customWidth="1"/>
    <col min="15" max="18" width="13.453125" customWidth="1"/>
    <col min="19" max="19" width="1.1796875" customWidth="1"/>
    <col min="20" max="20" width="13" customWidth="1"/>
    <col min="22" max="22" width="1" customWidth="1"/>
  </cols>
  <sheetData>
    <row r="1" spans="1:22" ht="3.75" customHeight="1" x14ac:dyDescent="0.35"/>
    <row r="2" spans="1:22" ht="39.75" customHeight="1" x14ac:dyDescent="0.35">
      <c r="A2" s="8" t="s">
        <v>268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2" ht="24" customHeight="1" x14ac:dyDescent="0.35">
      <c r="A3" s="7" t="s">
        <v>269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22" ht="15.75" customHeight="1" x14ac:dyDescent="0.35">
      <c r="A4" s="6" t="s">
        <v>270</v>
      </c>
      <c r="B4" s="6"/>
      <c r="C4" s="6"/>
      <c r="D4" s="6"/>
      <c r="E4" s="6"/>
      <c r="F4" s="6"/>
      <c r="G4" s="6" t="s">
        <v>271</v>
      </c>
      <c r="H4" s="6"/>
      <c r="I4" s="6"/>
      <c r="J4" s="6"/>
      <c r="K4" s="6"/>
      <c r="L4" s="6"/>
      <c r="M4" s="6"/>
      <c r="N4" s="6" t="s">
        <v>272</v>
      </c>
      <c r="O4" s="6"/>
      <c r="P4" s="6"/>
      <c r="Q4" s="6"/>
      <c r="R4" s="6"/>
      <c r="S4" s="6"/>
    </row>
    <row r="5" spans="1:22" ht="7.5" customHeight="1" x14ac:dyDescent="0.35"/>
    <row r="6" spans="1:22" ht="18" customHeight="1" x14ac:dyDescent="0.35">
      <c r="C6" s="5" t="s">
        <v>273</v>
      </c>
      <c r="D6" s="5"/>
      <c r="E6" s="5"/>
      <c r="F6" s="5"/>
      <c r="G6" s="5"/>
      <c r="I6" s="4" t="s">
        <v>274</v>
      </c>
      <c r="J6" s="4"/>
      <c r="K6" s="4"/>
      <c r="L6" s="4"/>
      <c r="M6" s="4"/>
      <c r="O6" s="3" t="s">
        <v>257</v>
      </c>
      <c r="P6" s="3"/>
      <c r="Q6" s="3"/>
      <c r="R6" s="3"/>
      <c r="S6" s="3"/>
    </row>
    <row r="7" spans="1:22" ht="37.5" customHeight="1" x14ac:dyDescent="0.35">
      <c r="C7" s="2">
        <f>SUMPRODUCT((commission_calc!$E$5:$E$186="AE")*commission_calc!$K$5:$K$186)</f>
        <v>3745000</v>
      </c>
      <c r="D7" s="2"/>
      <c r="E7" s="2"/>
      <c r="F7" s="2"/>
      <c r="G7" s="2"/>
      <c r="I7" s="1">
        <f>IFERROR(SUMPRODUCT((commission_calc!$E$5:$E$186="AE")*commission_calc!$K$5:$K$186)/SUMPRODUCT((commission_calc!$E$5:$E$186="AE")*commission_calc!$J$5:$J$186),0)</f>
        <v>1.0468204053109713</v>
      </c>
      <c r="J7" s="1"/>
      <c r="K7" s="1"/>
      <c r="L7" s="1"/>
      <c r="M7" s="1"/>
      <c r="O7" s="98">
        <f>SUMPRODUCT(commission_calc!$I$5:$I$186)+SUMPRODUCT(commission_calc!$U$5:$U$186)</f>
        <v>1675109.666666666</v>
      </c>
      <c r="P7" s="98"/>
      <c r="Q7" s="98"/>
      <c r="R7" s="98"/>
      <c r="S7" s="98"/>
    </row>
    <row r="8" spans="1:22" ht="13.5" customHeight="1" x14ac:dyDescent="0.35">
      <c r="C8" s="99" t="s">
        <v>275</v>
      </c>
      <c r="D8" s="99"/>
      <c r="E8" s="99"/>
      <c r="F8" s="99"/>
      <c r="G8" s="99"/>
      <c r="I8" s="100" t="s">
        <v>276</v>
      </c>
      <c r="J8" s="100"/>
      <c r="K8" s="100"/>
      <c r="L8" s="100"/>
      <c r="M8" s="100"/>
      <c r="O8" s="101" t="s">
        <v>277</v>
      </c>
      <c r="P8" s="101"/>
      <c r="Q8" s="101"/>
      <c r="R8" s="101"/>
      <c r="S8" s="101"/>
    </row>
    <row r="9" spans="1:22" ht="7.5" customHeight="1" x14ac:dyDescent="0.35"/>
    <row r="10" spans="1:22" ht="18" customHeight="1" x14ac:dyDescent="0.35">
      <c r="C10" s="102" t="s">
        <v>278</v>
      </c>
      <c r="D10" s="102"/>
      <c r="E10" s="102"/>
      <c r="F10" s="102"/>
      <c r="G10" s="102"/>
      <c r="I10" s="103" t="s">
        <v>279</v>
      </c>
      <c r="J10" s="103"/>
      <c r="K10" s="103"/>
      <c r="L10" s="103"/>
      <c r="M10" s="103"/>
      <c r="O10" s="104" t="s">
        <v>280</v>
      </c>
      <c r="P10" s="104"/>
      <c r="Q10" s="104"/>
      <c r="R10" s="104"/>
      <c r="S10" s="104"/>
    </row>
    <row r="11" spans="1:22" ht="37.5" customHeight="1" x14ac:dyDescent="0.35">
      <c r="C11" s="105">
        <f>IFERROR((SUMPRODUCT(commission_calc!$I$5:$I$186)+SUMPRODUCT(commission_calc!$U$5:$U$186))/SUMPRODUCT((commission_calc!$E$5:$E$186="AE")*commission_calc!$K$5:$K$186),0)</f>
        <v>0.4472923008455717</v>
      </c>
      <c r="D11" s="105"/>
      <c r="E11" s="105"/>
      <c r="F11" s="105"/>
      <c r="G11" s="105"/>
      <c r="I11" s="106">
        <f>SUMPRODUCT((commission_calc!$T$5:$T$186&gt;1)*1)</f>
        <v>90</v>
      </c>
      <c r="J11" s="106"/>
      <c r="K11" s="106"/>
      <c r="L11" s="106"/>
      <c r="M11" s="106"/>
      <c r="O11" s="107">
        <f>SUMPRODUCT(LARGE(U26:U43,{1,2,3,4}))/SUM(U26:U43)</f>
        <v>0.62964089268163459</v>
      </c>
      <c r="P11" s="107"/>
      <c r="Q11" s="107"/>
      <c r="R11" s="107"/>
      <c r="S11" s="107"/>
    </row>
    <row r="12" spans="1:22" ht="13.5" customHeight="1" x14ac:dyDescent="0.35">
      <c r="C12" s="108" t="s">
        <v>281</v>
      </c>
      <c r="D12" s="108"/>
      <c r="E12" s="108"/>
      <c r="F12" s="108"/>
      <c r="G12" s="108"/>
      <c r="I12" s="109" t="s">
        <v>282</v>
      </c>
      <c r="J12" s="109"/>
      <c r="K12" s="109"/>
      <c r="L12" s="109"/>
      <c r="M12" s="109"/>
      <c r="O12" s="110" t="s">
        <v>283</v>
      </c>
      <c r="P12" s="110"/>
      <c r="Q12" s="110"/>
      <c r="R12" s="110"/>
      <c r="S12" s="110"/>
    </row>
    <row r="13" spans="1:22" ht="9.75" customHeight="1" x14ac:dyDescent="0.35"/>
    <row r="14" spans="1:22" ht="18" customHeight="1" x14ac:dyDescent="0.35">
      <c r="C14" s="111" t="s">
        <v>284</v>
      </c>
      <c r="D14" s="111"/>
      <c r="E14" s="111"/>
      <c r="F14" s="111"/>
      <c r="G14" s="111"/>
      <c r="H14" s="111"/>
      <c r="I14" s="111"/>
      <c r="J14" s="111"/>
      <c r="L14" s="111" t="s">
        <v>285</v>
      </c>
      <c r="M14" s="111"/>
      <c r="N14" s="111"/>
      <c r="O14" s="111"/>
      <c r="P14" s="111"/>
      <c r="Q14" s="111"/>
      <c r="R14" s="111"/>
      <c r="S14" s="111"/>
    </row>
    <row r="15" spans="1:22" ht="15.75" customHeight="1" x14ac:dyDescent="0.35">
      <c r="C15" s="4" t="s">
        <v>188</v>
      </c>
      <c r="D15" s="4"/>
      <c r="E15" s="112" t="s">
        <v>31</v>
      </c>
      <c r="F15" s="112"/>
      <c r="G15" s="112" t="s">
        <v>34</v>
      </c>
      <c r="H15" s="112"/>
      <c r="I15" s="112" t="s">
        <v>286</v>
      </c>
      <c r="J15" s="112"/>
      <c r="L15" s="4" t="s">
        <v>21</v>
      </c>
      <c r="M15" s="4"/>
      <c r="N15" s="4" t="s">
        <v>70</v>
      </c>
      <c r="O15" s="4"/>
      <c r="P15" s="4" t="s">
        <v>287</v>
      </c>
      <c r="Q15" s="4"/>
      <c r="R15" s="4" t="s">
        <v>288</v>
      </c>
      <c r="S15" s="4"/>
      <c r="V15" s="81" t="s">
        <v>37</v>
      </c>
    </row>
    <row r="16" spans="1:22" ht="15" customHeight="1" x14ac:dyDescent="0.35">
      <c r="C16" s="113" t="s">
        <v>289</v>
      </c>
      <c r="D16" s="113"/>
      <c r="E16" s="114">
        <f>SUMPRODUCT((commission_calc!$E$5:$E$186="AE")*(commission_calc!$F$5:$F$186="Enterprise")*(commission_calc!$C$5:$C$186=1)*commission_calc!$K$5:$K$186)</f>
        <v>197000</v>
      </c>
      <c r="F16" s="114"/>
      <c r="G16" s="114">
        <f>SUMPRODUCT((commission_calc!$E$5:$E$186="AE")*(commission_calc!$F$5:$F$186="Mid-Market")*(commission_calc!$C$5:$C$186=1)*commission_calc!$K$5:$K$186)</f>
        <v>130000</v>
      </c>
      <c r="H16" s="114"/>
      <c r="I16" s="115">
        <f>SUMPRODUCT((commission_calc!$E$5:$E$186="AE")*(commission_calc!$C$5:$C$186=1)*commission_calc!$K$5:$K$186)</f>
        <v>377000</v>
      </c>
      <c r="J16" s="115"/>
      <c r="L16" s="116" t="s">
        <v>31</v>
      </c>
      <c r="M16" s="116"/>
      <c r="N16" s="117" t="s">
        <v>86</v>
      </c>
      <c r="O16" s="117"/>
      <c r="P16" s="114">
        <f>SUMPRODUCT((commission_calc!$E$5:$E$186="AE")*(commission_calc!$F$5:$F$186="Enterprise")*commission_calc!$U$5:$U$186)</f>
        <v>242125</v>
      </c>
      <c r="Q16" s="114"/>
      <c r="R16" s="118">
        <f>IFERROR(P16/SUMPRODUCT(commission_calc!$U$5:$U$186),0)</f>
        <v>0.37954017835449244</v>
      </c>
      <c r="S16" s="118"/>
      <c r="V16" s="82">
        <f>SUMPRODUCT((commission_calc!$E$5:$E$186="AE")*(commission_calc!$F$5:$F$186="SMB")*(commission_calc!$C$5:$C$186=1)*commission_calc!$K$5:$K$186)</f>
        <v>50000</v>
      </c>
    </row>
    <row r="17" spans="3:22" ht="15" customHeight="1" x14ac:dyDescent="0.35">
      <c r="C17" s="119" t="s">
        <v>290</v>
      </c>
      <c r="D17" s="119"/>
      <c r="E17" s="120">
        <f>SUMPRODUCT((commission_calc!$E$5:$E$186="AE")*(commission_calc!$F$5:$F$186="Enterprise")*(commission_calc!$C$5:$C$186=2)*commission_calc!$K$5:$K$186)</f>
        <v>183000</v>
      </c>
      <c r="F17" s="120"/>
      <c r="G17" s="120">
        <f>SUMPRODUCT((commission_calc!$E$5:$E$186="AE")*(commission_calc!$F$5:$F$186="Mid-Market")*(commission_calc!$C$5:$C$186=2)*commission_calc!$K$5:$K$186)</f>
        <v>122000</v>
      </c>
      <c r="H17" s="120"/>
      <c r="I17" s="115">
        <f>SUMPRODUCT((commission_calc!$E$5:$E$186="AE")*(commission_calc!$C$5:$C$186=2)*commission_calc!$K$5:$K$186)</f>
        <v>349000</v>
      </c>
      <c r="J17" s="115"/>
      <c r="L17" s="116" t="s">
        <v>31</v>
      </c>
      <c r="M17" s="116"/>
      <c r="N17" s="117" t="s">
        <v>90</v>
      </c>
      <c r="O17" s="117"/>
      <c r="P17" s="114">
        <f>SUMPRODUCT((commission_calc!$E$5:$E$186="CSM")*(commission_calc!$F$5:$F$186="Enterprise")*commission_calc!$U$5:$U$186)</f>
        <v>29280</v>
      </c>
      <c r="Q17" s="114"/>
      <c r="R17" s="118">
        <f>IFERROR(P17/SUMPRODUCT(commission_calc!$U$5:$U$186),0)</f>
        <v>4.5897517489807076E-2</v>
      </c>
      <c r="S17" s="118"/>
      <c r="V17" s="82">
        <f>SUMPRODUCT((commission_calc!$E$5:$E$186="AE")*(commission_calc!$F$5:$F$186="SMB")*(commission_calc!$C$5:$C$186=2)*commission_calc!$K$5:$K$186)</f>
        <v>44000</v>
      </c>
    </row>
    <row r="18" spans="3:22" ht="15" customHeight="1" x14ac:dyDescent="0.35">
      <c r="C18" s="113" t="s">
        <v>291</v>
      </c>
      <c r="D18" s="113"/>
      <c r="E18" s="114">
        <f>SUMPRODUCT((commission_calc!$E$5:$E$186="AE")*(commission_calc!$F$5:$F$186="Enterprise")*(commission_calc!$C$5:$C$186=3)*commission_calc!$K$5:$K$186)</f>
        <v>220000</v>
      </c>
      <c r="F18" s="114"/>
      <c r="G18" s="114">
        <f>SUMPRODUCT((commission_calc!$E$5:$E$186="AE")*(commission_calc!$F$5:$F$186="Mid-Market")*(commission_calc!$C$5:$C$186=3)*commission_calc!$K$5:$K$186)</f>
        <v>140000</v>
      </c>
      <c r="H18" s="114"/>
      <c r="I18" s="115">
        <f>SUMPRODUCT((commission_calc!$E$5:$E$186="AE")*(commission_calc!$C$5:$C$186=3)*commission_calc!$K$5:$K$186)</f>
        <v>415000</v>
      </c>
      <c r="J18" s="115"/>
      <c r="L18" s="121" t="s">
        <v>34</v>
      </c>
      <c r="M18" s="121"/>
      <c r="N18" s="122" t="s">
        <v>86</v>
      </c>
      <c r="O18" s="122"/>
      <c r="P18" s="120">
        <f>SUMPRODUCT((commission_calc!$E$5:$E$186="AE")*(commission_calc!$F$5:$F$186="Mid-Market")*commission_calc!$U$5:$U$186)</f>
        <v>159550</v>
      </c>
      <c r="Q18" s="120"/>
      <c r="R18" s="123">
        <f>IFERROR(P18/SUMPRODUCT(commission_calc!$U$5:$U$186),0)</f>
        <v>0.25010071432714204</v>
      </c>
      <c r="S18" s="123"/>
      <c r="V18" s="82">
        <f>SUMPRODUCT((commission_calc!$E$5:$E$186="AE")*(commission_calc!$F$5:$F$186="SMB")*(commission_calc!$C$5:$C$186=3)*commission_calc!$K$5:$K$186)</f>
        <v>55000</v>
      </c>
    </row>
    <row r="19" spans="3:22" ht="15" customHeight="1" x14ac:dyDescent="0.35">
      <c r="C19" s="119" t="s">
        <v>292</v>
      </c>
      <c r="D19" s="119"/>
      <c r="E19" s="120">
        <f>SUMPRODUCT((commission_calc!$E$5:$E$186="AE")*(commission_calc!$F$5:$F$186="Enterprise")*(commission_calc!$C$5:$C$186=4)*commission_calc!$K$5:$K$186)</f>
        <v>170000</v>
      </c>
      <c r="F19" s="120"/>
      <c r="G19" s="120">
        <f>SUMPRODUCT((commission_calc!$E$5:$E$186="AE")*(commission_calc!$F$5:$F$186="Mid-Market")*(commission_calc!$C$5:$C$186=4)*commission_calc!$K$5:$K$186)</f>
        <v>112000</v>
      </c>
      <c r="H19" s="120"/>
      <c r="I19" s="115">
        <f>SUMPRODUCT((commission_calc!$E$5:$E$186="AE")*(commission_calc!$C$5:$C$186=4)*commission_calc!$K$5:$K$186)</f>
        <v>326000</v>
      </c>
      <c r="J19" s="115"/>
      <c r="L19" s="121" t="s">
        <v>34</v>
      </c>
      <c r="M19" s="121"/>
      <c r="N19" s="122" t="s">
        <v>90</v>
      </c>
      <c r="O19" s="122"/>
      <c r="P19" s="120">
        <f>SUMPRODUCT((commission_calc!$E$5:$E$186="CSM")*(commission_calc!$F$5:$F$186="Mid-Market")*commission_calc!$U$5:$U$186)</f>
        <v>26508</v>
      </c>
      <c r="Q19" s="120"/>
      <c r="R19" s="123">
        <f>IFERROR(P19/SUMPRODUCT(commission_calc!$U$5:$U$186),0)</f>
        <v>4.1552301694665505E-2</v>
      </c>
      <c r="S19" s="123"/>
      <c r="V19" s="82">
        <f>SUMPRODUCT((commission_calc!$E$5:$E$186="AE")*(commission_calc!$F$5:$F$186="SMB")*(commission_calc!$C$5:$C$186=4)*commission_calc!$K$5:$K$186)</f>
        <v>44000</v>
      </c>
    </row>
    <row r="20" spans="3:22" ht="15" customHeight="1" x14ac:dyDescent="0.35">
      <c r="C20" s="113" t="s">
        <v>293</v>
      </c>
      <c r="D20" s="113"/>
      <c r="E20" s="114">
        <f>SUMPRODUCT((commission_calc!$E$5:$E$186="AE")*(commission_calc!$F$5:$F$186="Enterprise")*(commission_calc!$C$5:$C$186=5)*commission_calc!$K$5:$K$186)</f>
        <v>171000</v>
      </c>
      <c r="F20" s="114"/>
      <c r="G20" s="114">
        <f>SUMPRODUCT((commission_calc!$E$5:$E$186="AE")*(commission_calc!$F$5:$F$186="Mid-Market")*(commission_calc!$C$5:$C$186=5)*commission_calc!$K$5:$K$186)</f>
        <v>114000</v>
      </c>
      <c r="H20" s="114"/>
      <c r="I20" s="115">
        <f>SUMPRODUCT((commission_calc!$E$5:$E$186="AE")*(commission_calc!$C$5:$C$186=5)*commission_calc!$K$5:$K$186)</f>
        <v>330000</v>
      </c>
      <c r="J20" s="115"/>
      <c r="L20" s="124" t="s">
        <v>37</v>
      </c>
      <c r="M20" s="124"/>
      <c r="N20" s="117" t="s">
        <v>86</v>
      </c>
      <c r="O20" s="117"/>
      <c r="P20" s="114">
        <f>SUMPRODUCT((commission_calc!$E$5:$E$186="AE")*(commission_calc!$F$5:$F$186="SMB")*commission_calc!$U$5:$U$186)</f>
        <v>61740</v>
      </c>
      <c r="Q20" s="114"/>
      <c r="R20" s="118">
        <f>IFERROR(P20/SUMPRODUCT(commission_calc!$U$5:$U$186),0)</f>
        <v>9.6779806346334998E-2</v>
      </c>
      <c r="S20" s="118"/>
      <c r="V20" s="82">
        <f>SUMPRODUCT((commission_calc!$E$5:$E$186="AE")*(commission_calc!$F$5:$F$186="SMB")*(commission_calc!$C$5:$C$186=5)*commission_calc!$K$5:$K$186)</f>
        <v>45000</v>
      </c>
    </row>
    <row r="21" spans="3:22" ht="15" customHeight="1" x14ac:dyDescent="0.35">
      <c r="C21" s="119" t="s">
        <v>294</v>
      </c>
      <c r="D21" s="119"/>
      <c r="E21" s="120">
        <f>SUMPRODUCT((commission_calc!$E$5:$E$186="AE")*(commission_calc!$F$5:$F$186="Enterprise")*(commission_calc!$C$5:$C$186=6)*commission_calc!$K$5:$K$186)</f>
        <v>171000</v>
      </c>
      <c r="F21" s="120"/>
      <c r="G21" s="120">
        <f>SUMPRODUCT((commission_calc!$E$5:$E$186="AE")*(commission_calc!$F$5:$F$186="Mid-Market")*(commission_calc!$C$5:$C$186=6)*commission_calc!$K$5:$K$186)</f>
        <v>112000</v>
      </c>
      <c r="H21" s="120"/>
      <c r="I21" s="115">
        <f>SUMPRODUCT((commission_calc!$E$5:$E$186="AE")*(commission_calc!$C$5:$C$186=6)*commission_calc!$K$5:$K$186)</f>
        <v>325000</v>
      </c>
      <c r="J21" s="115"/>
      <c r="L21" s="124" t="s">
        <v>37</v>
      </c>
      <c r="M21" s="124"/>
      <c r="N21" s="117" t="s">
        <v>90</v>
      </c>
      <c r="O21" s="117"/>
      <c r="P21" s="114">
        <f>SUMPRODUCT((commission_calc!$E$5:$E$186="CSM")*(commission_calc!$F$5:$F$186="SMB")*commission_calc!$U$5:$U$186)</f>
        <v>4186.5</v>
      </c>
      <c r="Q21" s="114"/>
      <c r="R21" s="118">
        <f>IFERROR(P21/SUMPRODUCT(commission_calc!$U$5:$U$186),0)</f>
        <v>6.5624985304329683E-3</v>
      </c>
      <c r="S21" s="118"/>
      <c r="V21" s="82">
        <f>SUMPRODUCT((commission_calc!$E$5:$E$186="AE")*(commission_calc!$F$5:$F$186="SMB")*(commission_calc!$C$5:$C$186=6)*commission_calc!$K$5:$K$186)</f>
        <v>42000</v>
      </c>
    </row>
    <row r="22" spans="3:22" ht="15" customHeight="1" x14ac:dyDescent="0.35">
      <c r="C22" s="113" t="s">
        <v>295</v>
      </c>
      <c r="D22" s="113"/>
      <c r="E22" s="114">
        <f>SUMPRODUCT((commission_calc!$E$5:$E$186="AE")*(commission_calc!$F$5:$F$186="Enterprise")*(commission_calc!$C$5:$C$186=7)*commission_calc!$K$5:$K$186)</f>
        <v>137000</v>
      </c>
      <c r="F22" s="114"/>
      <c r="G22" s="114">
        <f>SUMPRODUCT((commission_calc!$E$5:$E$186="AE")*(commission_calc!$F$5:$F$186="Mid-Market")*(commission_calc!$C$5:$C$186=7)*commission_calc!$K$5:$K$186)</f>
        <v>89000</v>
      </c>
      <c r="H22" s="114"/>
      <c r="I22" s="115">
        <f>SUMPRODUCT((commission_calc!$E$5:$E$186="AE")*(commission_calc!$C$5:$C$186=7)*commission_calc!$K$5:$K$186)</f>
        <v>258000</v>
      </c>
      <c r="J22" s="115"/>
      <c r="L22" s="125" t="s">
        <v>31</v>
      </c>
      <c r="M22" s="125"/>
      <c r="N22" s="122" t="s">
        <v>81</v>
      </c>
      <c r="O22" s="122"/>
      <c r="P22" s="120">
        <f>SUMPRODUCT((commission_calc!$E$5:$E$186="SDR")*(commission_calc!$F$5:$F$186="Enterprise")*commission_calc!$U$5:$U$186)</f>
        <v>26700.3</v>
      </c>
      <c r="Q22" s="120"/>
      <c r="R22" s="123">
        <f>IFERROR(P22/SUMPRODUCT(commission_calc!$U$5:$U$186),0)</f>
        <v>4.1853739283917203E-2</v>
      </c>
      <c r="S22" s="123"/>
      <c r="V22" s="82">
        <f>SUMPRODUCT((commission_calc!$E$5:$E$186="AE")*(commission_calc!$F$5:$F$186="SMB")*(commission_calc!$C$5:$C$186=7)*commission_calc!$K$5:$K$186)</f>
        <v>32000</v>
      </c>
    </row>
    <row r="23" spans="3:22" ht="15" customHeight="1" x14ac:dyDescent="0.35">
      <c r="C23" s="119" t="s">
        <v>296</v>
      </c>
      <c r="D23" s="119"/>
      <c r="E23" s="120">
        <f>SUMPRODUCT((commission_calc!$E$5:$E$186="AE")*(commission_calc!$F$5:$F$186="Enterprise")*(commission_calc!$C$5:$C$186=8)*commission_calc!$K$5:$K$186)</f>
        <v>123000</v>
      </c>
      <c r="F23" s="120"/>
      <c r="G23" s="120">
        <f>SUMPRODUCT((commission_calc!$E$5:$E$186="AE")*(commission_calc!$F$5:$F$186="Mid-Market")*(commission_calc!$C$5:$C$186=8)*commission_calc!$K$5:$K$186)</f>
        <v>82000</v>
      </c>
      <c r="H23" s="120"/>
      <c r="I23" s="115">
        <f>SUMPRODUCT((commission_calc!$E$5:$E$186="AE")*(commission_calc!$C$5:$C$186=8)*commission_calc!$K$5:$K$186)</f>
        <v>242000</v>
      </c>
      <c r="J23" s="115"/>
      <c r="L23" s="126" t="s">
        <v>34</v>
      </c>
      <c r="M23" s="126"/>
      <c r="N23" s="117" t="s">
        <v>81</v>
      </c>
      <c r="O23" s="117"/>
      <c r="P23" s="114">
        <f>SUMPRODUCT((commission_calc!$E$5:$E$186="SDR")*(commission_calc!$F$5:$F$186="Mid-Market")*commission_calc!$U$5:$U$186)</f>
        <v>52271</v>
      </c>
      <c r="Q23" s="114"/>
      <c r="R23" s="118">
        <f>IFERROR(P23/SUMPRODUCT(commission_calc!$U$5:$U$186),0)</f>
        <v>8.1936787455932567E-2</v>
      </c>
      <c r="S23" s="118"/>
      <c r="V23" s="82">
        <f>SUMPRODUCT((commission_calc!$E$5:$E$186="AE")*(commission_calc!$F$5:$F$186="SMB")*(commission_calc!$C$5:$C$186=8)*commission_calc!$K$5:$K$186)</f>
        <v>37000</v>
      </c>
    </row>
    <row r="24" spans="3:22" ht="15" customHeight="1" x14ac:dyDescent="0.35">
      <c r="C24" s="113" t="s">
        <v>297</v>
      </c>
      <c r="D24" s="113"/>
      <c r="E24" s="114">
        <f>SUMPRODUCT((commission_calc!$E$5:$E$186="AE")*(commission_calc!$F$5:$F$186="Enterprise")*(commission_calc!$C$5:$C$186=9)*commission_calc!$K$5:$K$186)</f>
        <v>148000</v>
      </c>
      <c r="F24" s="114"/>
      <c r="G24" s="114">
        <f>SUMPRODUCT((commission_calc!$E$5:$E$186="AE")*(commission_calc!$F$5:$F$186="Mid-Market")*(commission_calc!$C$5:$C$186=9)*commission_calc!$K$5:$K$186)</f>
        <v>98000</v>
      </c>
      <c r="H24" s="114"/>
      <c r="I24" s="115">
        <f>SUMPRODUCT((commission_calc!$E$5:$E$186="AE")*(commission_calc!$C$5:$C$186=9)*commission_calc!$K$5:$K$186)</f>
        <v>296000</v>
      </c>
      <c r="J24" s="115"/>
      <c r="L24" s="127" t="s">
        <v>37</v>
      </c>
      <c r="M24" s="127"/>
      <c r="N24" s="122" t="s">
        <v>81</v>
      </c>
      <c r="O24" s="122"/>
      <c r="P24" s="120">
        <f>SUMPRODUCT((commission_calc!$E$5:$E$186="SDR")*(commission_calc!$F$5:$F$186="SMB")*commission_calc!$U$5:$U$186)</f>
        <v>35582.199999999997</v>
      </c>
      <c r="Q24" s="120"/>
      <c r="R24" s="123">
        <f>IFERROR(P24/SUMPRODUCT(commission_calc!$U$5:$U$186),0)</f>
        <v>5.5776456517275037E-2</v>
      </c>
      <c r="S24" s="123"/>
      <c r="V24" s="82">
        <f>SUMPRODUCT((commission_calc!$E$5:$E$186="AE")*(commission_calc!$F$5:$F$186="SMB")*(commission_calc!$C$5:$C$186=9)*commission_calc!$K$5:$K$186)</f>
        <v>50000</v>
      </c>
    </row>
    <row r="25" spans="3:22" ht="15.75" customHeight="1" x14ac:dyDescent="0.35">
      <c r="C25" s="119" t="s">
        <v>298</v>
      </c>
      <c r="D25" s="119"/>
      <c r="E25" s="120">
        <f>SUMPRODUCT((commission_calc!$E$5:$E$186="AE")*(commission_calc!$F$5:$F$186="Enterprise")*(commission_calc!$C$5:$C$186=10)*commission_calc!$K$5:$K$186)</f>
        <v>117000</v>
      </c>
      <c r="F25" s="120"/>
      <c r="G25" s="120">
        <f>SUMPRODUCT((commission_calc!$E$5:$E$186="AE")*(commission_calc!$F$5:$F$186="Mid-Market")*(commission_calc!$C$5:$C$186=10)*commission_calc!$K$5:$K$186)</f>
        <v>78000</v>
      </c>
      <c r="H25" s="120"/>
      <c r="I25" s="115">
        <f>SUMPRODUCT((commission_calc!$E$5:$E$186="AE")*(commission_calc!$C$5:$C$186=10)*commission_calc!$K$5:$K$186)</f>
        <v>238000</v>
      </c>
      <c r="J25" s="115"/>
      <c r="L25" s="128" t="s">
        <v>299</v>
      </c>
      <c r="M25" s="128"/>
      <c r="N25" s="128"/>
      <c r="O25" s="128"/>
      <c r="P25" s="129">
        <f>SUMPRODUCT(commission_calc!$U$5:$U$186)</f>
        <v>637943.00000000012</v>
      </c>
      <c r="Q25" s="129"/>
      <c r="R25" s="128" t="s">
        <v>300</v>
      </c>
      <c r="S25" s="128"/>
      <c r="V25" s="82">
        <f>SUMPRODUCT((commission_calc!$E$5:$E$186="AE")*(commission_calc!$F$5:$F$186="SMB")*(commission_calc!$C$5:$C$186=10)*commission_calc!$K$5:$K$186)</f>
        <v>43000</v>
      </c>
    </row>
    <row r="26" spans="3:22" ht="15" customHeight="1" x14ac:dyDescent="0.35">
      <c r="C26" s="113" t="s">
        <v>301</v>
      </c>
      <c r="D26" s="113"/>
      <c r="E26" s="114">
        <f>SUMPRODUCT((commission_calc!$E$5:$E$186="AE")*(commission_calc!$F$5:$F$186="Enterprise")*(commission_calc!$C$5:$C$186=11)*commission_calc!$K$5:$K$186)</f>
        <v>132000</v>
      </c>
      <c r="F26" s="114"/>
      <c r="G26" s="114">
        <f>SUMPRODUCT((commission_calc!$E$5:$E$186="AE")*(commission_calc!$F$5:$F$186="Mid-Market")*(commission_calc!$C$5:$C$186=11)*commission_calc!$K$5:$K$186)</f>
        <v>87000</v>
      </c>
      <c r="H26" s="114"/>
      <c r="I26" s="115">
        <f>SUMPRODUCT((commission_calc!$E$5:$E$186="AE")*(commission_calc!$C$5:$C$186=11)*commission_calc!$K$5:$K$186)</f>
        <v>262000</v>
      </c>
      <c r="J26" s="115"/>
      <c r="U26" s="83">
        <f>SUMPRODUCT((commission_calc!$B$5:$B$186="R002")*commission_calc!$U$5:$U$186)</f>
        <v>26700.3</v>
      </c>
      <c r="V26" s="82">
        <f>SUMPRODUCT((commission_calc!$E$5:$E$186="AE")*(commission_calc!$F$5:$F$186="SMB")*(commission_calc!$C$5:$C$186=11)*commission_calc!$K$5:$K$186)</f>
        <v>43000</v>
      </c>
    </row>
    <row r="27" spans="3:22" ht="15" customHeight="1" x14ac:dyDescent="0.35">
      <c r="C27" s="119" t="s">
        <v>302</v>
      </c>
      <c r="D27" s="119"/>
      <c r="E27" s="120">
        <f>SUMPRODUCT((commission_calc!$E$5:$E$186="AE")*(commission_calc!$F$5:$F$186="Enterprise")*(commission_calc!$C$5:$C$186=12)*commission_calc!$K$5:$K$186)</f>
        <v>163000</v>
      </c>
      <c r="F27" s="120"/>
      <c r="G27" s="120">
        <f>SUMPRODUCT((commission_calc!$E$5:$E$186="AE")*(commission_calc!$F$5:$F$186="Mid-Market")*(commission_calc!$C$5:$C$186=12)*commission_calc!$K$5:$K$186)</f>
        <v>110000</v>
      </c>
      <c r="H27" s="120"/>
      <c r="I27" s="115">
        <f>SUMPRODUCT((commission_calc!$E$5:$E$186="AE")*(commission_calc!$C$5:$C$186=12)*commission_calc!$K$5:$K$186)</f>
        <v>327000</v>
      </c>
      <c r="J27" s="115"/>
      <c r="U27" s="83">
        <f>SUMPRODUCT((commission_calc!$B$5:$B$186="R003")*commission_calc!$U$5:$U$186)</f>
        <v>112625</v>
      </c>
      <c r="V27" s="82">
        <f>SUMPRODUCT((commission_calc!$E$5:$E$186="AE")*(commission_calc!$F$5:$F$186="SMB")*(commission_calc!$C$5:$C$186=12)*commission_calc!$K$5:$K$186)</f>
        <v>54000</v>
      </c>
    </row>
    <row r="28" spans="3:22" ht="15.75" customHeight="1" x14ac:dyDescent="0.35">
      <c r="C28" s="128" t="s">
        <v>40</v>
      </c>
      <c r="D28" s="128"/>
      <c r="E28" s="129">
        <f>SUM(E16:E27)</f>
        <v>1932000</v>
      </c>
      <c r="F28" s="129"/>
      <c r="G28" s="129">
        <f>SUM(G16:G27)</f>
        <v>1274000</v>
      </c>
      <c r="H28" s="129"/>
      <c r="I28" s="129">
        <f>SUM(I16:I27)</f>
        <v>3745000</v>
      </c>
      <c r="J28" s="129"/>
      <c r="U28" s="83">
        <f>SUMPRODUCT((commission_calc!$B$5:$B$186="R004")*commission_calc!$U$5:$U$186)</f>
        <v>129500</v>
      </c>
    </row>
    <row r="29" spans="3:22" ht="9.75" customHeight="1" x14ac:dyDescent="0.35">
      <c r="U29" s="83">
        <f>SUMPRODUCT((commission_calc!$B$5:$B$186="R005")*commission_calc!$U$5:$U$186)</f>
        <v>27060</v>
      </c>
    </row>
    <row r="30" spans="3:22" ht="3" customHeight="1" x14ac:dyDescent="0.35">
      <c r="U30" s="83">
        <f>SUMPRODUCT((commission_calc!$B$5:$B$186="R006")*commission_calc!$U$5:$U$186)</f>
        <v>2220</v>
      </c>
    </row>
    <row r="31" spans="3:22" ht="18" customHeight="1" x14ac:dyDescent="0.35">
      <c r="C31" s="111" t="s">
        <v>303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U31" s="83">
        <f>SUMPRODUCT((commission_calc!$B$5:$B$186="R008")*commission_calc!$U$5:$U$186)</f>
        <v>15948.5</v>
      </c>
    </row>
    <row r="32" spans="3:22" ht="15.75" customHeight="1" x14ac:dyDescent="0.35">
      <c r="C32" s="130" t="s">
        <v>186</v>
      </c>
      <c r="D32" s="130"/>
      <c r="E32" s="84" t="s">
        <v>70</v>
      </c>
      <c r="F32" s="4" t="s">
        <v>21</v>
      </c>
      <c r="G32" s="4"/>
      <c r="H32" s="112" t="s">
        <v>73</v>
      </c>
      <c r="I32" s="112"/>
      <c r="J32" s="112" t="s">
        <v>304</v>
      </c>
      <c r="K32" s="112"/>
      <c r="L32" s="84" t="s">
        <v>305</v>
      </c>
      <c r="M32" s="84" t="s">
        <v>223</v>
      </c>
      <c r="N32" s="84" t="s">
        <v>227</v>
      </c>
      <c r="O32" s="84" t="s">
        <v>231</v>
      </c>
      <c r="P32" s="84" t="s">
        <v>235</v>
      </c>
      <c r="Q32" s="112" t="s">
        <v>306</v>
      </c>
      <c r="R32" s="112"/>
      <c r="S32" s="84" t="s">
        <v>123</v>
      </c>
      <c r="U32" s="83">
        <f>SUMPRODUCT((commission_calc!$B$5:$B$186="R009")*commission_calc!$U$5:$U$186)</f>
        <v>24841.25</v>
      </c>
    </row>
    <row r="33" spans="3:21" ht="15" customHeight="1" x14ac:dyDescent="0.35">
      <c r="C33" s="131" t="str">
        <f>VLOOKUP("R003",rep_roster!$A:$B,2,0)</f>
        <v>James Harrington</v>
      </c>
      <c r="D33" s="131"/>
      <c r="E33" s="85" t="s">
        <v>86</v>
      </c>
      <c r="F33" s="113" t="s">
        <v>31</v>
      </c>
      <c r="G33" s="113"/>
      <c r="H33" s="114">
        <f>SUMPRODUCT((commission_calc!$B$5:$B$186="R003")*commission_calc!$J$5:$J$186)</f>
        <v>900000</v>
      </c>
      <c r="I33" s="114"/>
      <c r="J33" s="114">
        <f>SUMPRODUCT((commission_calc!$B$5:$B$186="R003")*commission_calc!$K$5:$K$186)</f>
        <v>923000</v>
      </c>
      <c r="K33" s="114"/>
      <c r="L33" s="86">
        <f t="shared" ref="L33:L44" si="0">IF(H33&gt;0,J33/H33,0)</f>
        <v>1.0255555555555556</v>
      </c>
      <c r="M33" s="87">
        <f>IFERROR(SUMPRODUCT((commission_calc!$B$5:$B$186="R003")*(commission_calc!$C$5:$C$186&gt;=1)*(commission_calc!$C$5:$C$186&lt;=3)*commission_calc!$K$5:$K$186)/SUMPRODUCT((commission_calc!$B$5:$B$186="R003")*(commission_calc!$C$5:$C$186&gt;=1)*(commission_calc!$C$5:$C$186&lt;=3)*commission_calc!$J$5:$J$186),0)</f>
        <v>1.28</v>
      </c>
      <c r="N33" s="87">
        <f>IFERROR(SUMPRODUCT((commission_calc!$B$5:$B$186="R003")*(commission_calc!$C$5:$C$186&gt;=4)*(commission_calc!$C$5:$C$186&lt;=6)*commission_calc!$K$5:$K$186)/SUMPRODUCT((commission_calc!$B$5:$B$186="R003")*(commission_calc!$C$5:$C$186&gt;=4)*(commission_calc!$C$5:$C$186&lt;=6)*commission_calc!$J$5:$J$186),0)</f>
        <v>1.0977777777777777</v>
      </c>
      <c r="O33" s="87">
        <f>IFERROR(SUMPRODUCT((commission_calc!$B$5:$B$186="R003")*(commission_calc!$C$5:$C$186&gt;=7)*(commission_calc!$C$5:$C$186&lt;=9)*commission_calc!$K$5:$K$186)/SUMPRODUCT((commission_calc!$B$5:$B$186="R003")*(commission_calc!$C$5:$C$186&gt;=7)*(commission_calc!$C$5:$C$186&lt;=9)*commission_calc!$J$5:$J$186),0)</f>
        <v>0.85777777777777775</v>
      </c>
      <c r="P33" s="87">
        <f>IFERROR(SUMPRODUCT((commission_calc!$B$5:$B$186="R003")*(commission_calc!$C$5:$C$186&gt;=10)*(commission_calc!$C$5:$C$186&lt;=12)*commission_calc!$K$5:$K$186)/SUMPRODUCT((commission_calc!$B$5:$B$186="R003")*(commission_calc!$C$5:$C$186&gt;=10)*(commission_calc!$C$5:$C$186&lt;=12)*commission_calc!$J$5:$J$186),0)</f>
        <v>0.8666666666666667</v>
      </c>
      <c r="Q33" s="114">
        <f>SUMPRODUCT((commission_calc!$B$5:$B$186="R003")*commission_calc!$U$5:$U$186)</f>
        <v>112625</v>
      </c>
      <c r="R33" s="114"/>
      <c r="S33" s="88" t="s">
        <v>307</v>
      </c>
      <c r="U33" s="83">
        <f>SUMPRODUCT((commission_calc!$B$5:$B$186="R010")*commission_calc!$U$5:$U$186)</f>
        <v>11481.25</v>
      </c>
    </row>
    <row r="34" spans="3:21" ht="15" customHeight="1" x14ac:dyDescent="0.35">
      <c r="C34" s="132" t="str">
        <f>VLOOKUP("R004",rep_roster!$A:$B,2,0)</f>
        <v>Olivia Brooks</v>
      </c>
      <c r="D34" s="132"/>
      <c r="E34" s="89" t="s">
        <v>86</v>
      </c>
      <c r="F34" s="119" t="s">
        <v>31</v>
      </c>
      <c r="G34" s="119"/>
      <c r="H34" s="120">
        <f>SUMPRODUCT((commission_calc!$B$5:$B$186="R004")*commission_calc!$J$5:$J$186)</f>
        <v>900000</v>
      </c>
      <c r="I34" s="120"/>
      <c r="J34" s="120">
        <f>SUMPRODUCT((commission_calc!$B$5:$B$186="R004")*commission_calc!$K$5:$K$186)</f>
        <v>1009000</v>
      </c>
      <c r="K34" s="120"/>
      <c r="L34" s="86">
        <f t="shared" si="0"/>
        <v>1.1211111111111112</v>
      </c>
      <c r="M34" s="90">
        <f>IFERROR(SUMPRODUCT((commission_calc!$B$5:$B$186="R004")*(commission_calc!$C$5:$C$186&gt;=1)*(commission_calc!$C$5:$C$186&lt;=3)*commission_calc!$K$5:$K$186)/SUMPRODUCT((commission_calc!$B$5:$B$186="R004")*(commission_calc!$C$5:$C$186&gt;=1)*(commission_calc!$C$5:$C$186&lt;=3)*commission_calc!$J$5:$J$186),0)</f>
        <v>1.3866666666666667</v>
      </c>
      <c r="N34" s="90">
        <f>IFERROR(SUMPRODUCT((commission_calc!$B$5:$B$186="R004")*(commission_calc!$C$5:$C$186&gt;=4)*(commission_calc!$C$5:$C$186&lt;=6)*commission_calc!$K$5:$K$186)/SUMPRODUCT((commission_calc!$B$5:$B$186="R004")*(commission_calc!$C$5:$C$186&gt;=4)*(commission_calc!$C$5:$C$186&lt;=6)*commission_calc!$J$5:$J$186),0)</f>
        <v>1.1777777777777778</v>
      </c>
      <c r="O34" s="90">
        <f>IFERROR(SUMPRODUCT((commission_calc!$B$5:$B$186="R004")*(commission_calc!$C$5:$C$186&gt;=7)*(commission_calc!$C$5:$C$186&lt;=9)*commission_calc!$K$5:$K$186)/SUMPRODUCT((commission_calc!$B$5:$B$186="R004")*(commission_calc!$C$5:$C$186&gt;=7)*(commission_calc!$C$5:$C$186&lt;=9)*commission_calc!$J$5:$J$186),0)</f>
        <v>0.9555555555555556</v>
      </c>
      <c r="P34" s="90">
        <f>IFERROR(SUMPRODUCT((commission_calc!$B$5:$B$186="R004")*(commission_calc!$C$5:$C$186&gt;=10)*(commission_calc!$C$5:$C$186&lt;=12)*commission_calc!$K$5:$K$186)/SUMPRODUCT((commission_calc!$B$5:$B$186="R004")*(commission_calc!$C$5:$C$186&gt;=10)*(commission_calc!$C$5:$C$186&lt;=12)*commission_calc!$J$5:$J$186),0)</f>
        <v>0.96444444444444444</v>
      </c>
      <c r="Q34" s="120">
        <f>SUMPRODUCT((commission_calc!$B$5:$B$186="R004")*commission_calc!$U$5:$U$186)</f>
        <v>129500</v>
      </c>
      <c r="R34" s="120"/>
      <c r="S34" s="88" t="s">
        <v>308</v>
      </c>
      <c r="U34" s="83">
        <f>SUMPRODUCT((commission_calc!$B$5:$B$186="R011")*commission_calc!$U$5:$U$186)</f>
        <v>74825</v>
      </c>
    </row>
    <row r="35" spans="3:21" ht="15" customHeight="1" x14ac:dyDescent="0.35">
      <c r="C35" s="131" t="str">
        <f>VLOOKUP("R005",rep_roster!$A:$B,2,0)</f>
        <v>David Kim</v>
      </c>
      <c r="D35" s="131"/>
      <c r="E35" s="85" t="s">
        <v>90</v>
      </c>
      <c r="F35" s="113" t="s">
        <v>31</v>
      </c>
      <c r="G35" s="113"/>
      <c r="H35" s="114">
        <f>SUMPRODUCT((commission_calc!$B$5:$B$186="R005")*commission_calc!$J$5:$J$186)</f>
        <v>360000</v>
      </c>
      <c r="I35" s="114"/>
      <c r="J35" s="114">
        <f>SUMPRODUCT((commission_calc!$B$5:$B$186="R005")*commission_calc!$K$5:$K$186)</f>
        <v>393000</v>
      </c>
      <c r="K35" s="114"/>
      <c r="L35" s="86">
        <f t="shared" si="0"/>
        <v>1.0916666666666666</v>
      </c>
      <c r="M35" s="87">
        <f>IFERROR(SUMPRODUCT((commission_calc!$B$5:$B$186="R005")*(commission_calc!$C$5:$C$186&gt;=1)*(commission_calc!$C$5:$C$186&lt;=3)*commission_calc!$K$5:$K$186)/SUMPRODUCT((commission_calc!$B$5:$B$186="R005")*(commission_calc!$C$5:$C$186&gt;=1)*(commission_calc!$C$5:$C$186&lt;=3)*commission_calc!$J$5:$J$186),0)</f>
        <v>1.3166666666666667</v>
      </c>
      <c r="N35" s="87">
        <f>IFERROR(SUMPRODUCT((commission_calc!$B$5:$B$186="R005")*(commission_calc!$C$5:$C$186&gt;=4)*(commission_calc!$C$5:$C$186&lt;=6)*commission_calc!$K$5:$K$186)/SUMPRODUCT((commission_calc!$B$5:$B$186="R005")*(commission_calc!$C$5:$C$186&gt;=4)*(commission_calc!$C$5:$C$186&lt;=6)*commission_calc!$J$5:$J$186),0)</f>
        <v>1.1000000000000001</v>
      </c>
      <c r="O35" s="87">
        <f>IFERROR(SUMPRODUCT((commission_calc!$B$5:$B$186="R005")*(commission_calc!$C$5:$C$186&gt;=7)*(commission_calc!$C$5:$C$186&lt;=9)*commission_calc!$K$5:$K$186)/SUMPRODUCT((commission_calc!$B$5:$B$186="R005")*(commission_calc!$C$5:$C$186&gt;=7)*(commission_calc!$C$5:$C$186&lt;=9)*commission_calc!$J$5:$J$186),0)</f>
        <v>0.85833333333333328</v>
      </c>
      <c r="P35" s="87">
        <f>IFERROR(SUMPRODUCT((commission_calc!$B$5:$B$186="R005")*(commission_calc!$C$5:$C$186&gt;=10)*(commission_calc!$C$5:$C$186&lt;=12)*commission_calc!$K$5:$K$186)/SUMPRODUCT((commission_calc!$B$5:$B$186="R005")*(commission_calc!$C$5:$C$186&gt;=10)*(commission_calc!$C$5:$C$186&lt;=12)*commission_calc!$J$5:$J$186),0)</f>
        <v>0</v>
      </c>
      <c r="Q35" s="114">
        <f>SUMPRODUCT((commission_calc!$B$5:$B$186="R005")*commission_calc!$U$5:$U$186)</f>
        <v>27060</v>
      </c>
      <c r="R35" s="114"/>
      <c r="S35" s="91" t="s">
        <v>309</v>
      </c>
      <c r="U35" s="83">
        <f>SUMPRODUCT((commission_calc!$B$5:$B$186="R012")*commission_calc!$U$5:$U$186)</f>
        <v>84725</v>
      </c>
    </row>
    <row r="36" spans="3:21" ht="15" customHeight="1" x14ac:dyDescent="0.35">
      <c r="C36" s="132" t="str">
        <f>VLOOKUP("R006",rep_roster!$A:$B,2,0)</f>
        <v>Lisa Park</v>
      </c>
      <c r="D36" s="132"/>
      <c r="E36" s="89" t="s">
        <v>90</v>
      </c>
      <c r="F36" s="119" t="s">
        <v>31</v>
      </c>
      <c r="G36" s="119"/>
      <c r="H36" s="120">
        <f>SUMPRODUCT((commission_calc!$B$5:$B$186="R006")*commission_calc!$J$5:$J$186)</f>
        <v>84000</v>
      </c>
      <c r="I36" s="120"/>
      <c r="J36" s="120">
        <f>SUMPRODUCT((commission_calc!$B$5:$B$186="R006")*commission_calc!$K$5:$K$186)</f>
        <v>37000</v>
      </c>
      <c r="K36" s="120"/>
      <c r="L36" s="86">
        <f t="shared" si="0"/>
        <v>0.44047619047619047</v>
      </c>
      <c r="M36" s="90">
        <f>IFERROR(SUMPRODUCT((commission_calc!$B$5:$B$186="R006")*(commission_calc!$C$5:$C$186&gt;=1)*(commission_calc!$C$5:$C$186&lt;=3)*commission_calc!$K$5:$K$186)/SUMPRODUCT((commission_calc!$B$5:$B$186="R006")*(commission_calc!$C$5:$C$186&gt;=1)*(commission_calc!$C$5:$C$186&lt;=3)*commission_calc!$J$5:$J$186),0)</f>
        <v>0</v>
      </c>
      <c r="N36" s="90">
        <f>IFERROR(SUMPRODUCT((commission_calc!$B$5:$B$186="R006")*(commission_calc!$C$5:$C$186&gt;=4)*(commission_calc!$C$5:$C$186&lt;=6)*commission_calc!$K$5:$K$186)/SUMPRODUCT((commission_calc!$B$5:$B$186="R006")*(commission_calc!$C$5:$C$186&gt;=4)*(commission_calc!$C$5:$C$186&lt;=6)*commission_calc!$J$5:$J$186),0)</f>
        <v>0</v>
      </c>
      <c r="O36" s="90">
        <f>IFERROR(SUMPRODUCT((commission_calc!$B$5:$B$186="R006")*(commission_calc!$C$5:$C$186&gt;=7)*(commission_calc!$C$5:$C$186&lt;=9)*commission_calc!$K$5:$K$186)/SUMPRODUCT((commission_calc!$B$5:$B$186="R006")*(commission_calc!$C$5:$C$186&gt;=7)*(commission_calc!$C$5:$C$186&lt;=9)*commission_calc!$J$5:$J$186),0)</f>
        <v>0</v>
      </c>
      <c r="P36" s="90">
        <f>IFERROR(SUMPRODUCT((commission_calc!$B$5:$B$186="R006")*(commission_calc!$C$5:$C$186&gt;=10)*(commission_calc!$C$5:$C$186&lt;=12)*commission_calc!$K$5:$K$186)/SUMPRODUCT((commission_calc!$B$5:$B$186="R006")*(commission_calc!$C$5:$C$186&gt;=10)*(commission_calc!$C$5:$C$186&lt;=12)*commission_calc!$J$5:$J$186),0)</f>
        <v>0.44047619047619047</v>
      </c>
      <c r="Q36" s="120">
        <f>SUMPRODUCT((commission_calc!$B$5:$B$186="R006")*commission_calc!$U$5:$U$186)</f>
        <v>2220</v>
      </c>
      <c r="R36" s="120"/>
      <c r="S36" s="92" t="s">
        <v>310</v>
      </c>
      <c r="U36" s="83">
        <f>SUMPRODUCT((commission_calc!$B$5:$B$186="R013")*commission_calc!$U$5:$U$186)</f>
        <v>12492</v>
      </c>
    </row>
    <row r="37" spans="3:21" ht="15" customHeight="1" x14ac:dyDescent="0.35">
      <c r="C37" s="131" t="str">
        <f>VLOOKUP("R011",rep_roster!$A:$B,2,0)</f>
        <v>Ryan Thompson</v>
      </c>
      <c r="D37" s="131"/>
      <c r="E37" s="85" t="s">
        <v>86</v>
      </c>
      <c r="F37" s="133" t="s">
        <v>34</v>
      </c>
      <c r="G37" s="133"/>
      <c r="H37" s="114">
        <f>SUMPRODUCT((commission_calc!$B$5:$B$186="R011")*commission_calc!$J$5:$J$186)</f>
        <v>600000</v>
      </c>
      <c r="I37" s="114"/>
      <c r="J37" s="114">
        <f>SUMPRODUCT((commission_calc!$B$5:$B$186="R011")*commission_calc!$K$5:$K$186)</f>
        <v>615000</v>
      </c>
      <c r="K37" s="114"/>
      <c r="L37" s="86">
        <f t="shared" si="0"/>
        <v>1.0249999999999999</v>
      </c>
      <c r="M37" s="87">
        <f>IFERROR(SUMPRODUCT((commission_calc!$B$5:$B$186="R011")*(commission_calc!$C$5:$C$186&gt;=1)*(commission_calc!$C$5:$C$186&lt;=3)*commission_calc!$K$5:$K$186)/SUMPRODUCT((commission_calc!$B$5:$B$186="R011")*(commission_calc!$C$5:$C$186&gt;=1)*(commission_calc!$C$5:$C$186&lt;=3)*commission_calc!$J$5:$J$186),0)</f>
        <v>1.2533333333333334</v>
      </c>
      <c r="N37" s="87">
        <f>IFERROR(SUMPRODUCT((commission_calc!$B$5:$B$186="R011")*(commission_calc!$C$5:$C$186&gt;=4)*(commission_calc!$C$5:$C$186&lt;=6)*commission_calc!$K$5:$K$186)/SUMPRODUCT((commission_calc!$B$5:$B$186="R011")*(commission_calc!$C$5:$C$186&gt;=4)*(commission_calc!$C$5:$C$186&lt;=6)*commission_calc!$J$5:$J$186),0)</f>
        <v>1.0866666666666667</v>
      </c>
      <c r="O37" s="87">
        <f>IFERROR(SUMPRODUCT((commission_calc!$B$5:$B$186="R011")*(commission_calc!$C$5:$C$186&gt;=7)*(commission_calc!$C$5:$C$186&lt;=9)*commission_calc!$K$5:$K$186)/SUMPRODUCT((commission_calc!$B$5:$B$186="R011")*(commission_calc!$C$5:$C$186&gt;=7)*(commission_calc!$C$5:$C$186&lt;=9)*commission_calc!$J$5:$J$186),0)</f>
        <v>0.88</v>
      </c>
      <c r="P37" s="87">
        <f>IFERROR(SUMPRODUCT((commission_calc!$B$5:$B$186="R011")*(commission_calc!$C$5:$C$186&gt;=10)*(commission_calc!$C$5:$C$186&lt;=12)*commission_calc!$K$5:$K$186)/SUMPRODUCT((commission_calc!$B$5:$B$186="R011")*(commission_calc!$C$5:$C$186&gt;=10)*(commission_calc!$C$5:$C$186&lt;=12)*commission_calc!$J$5:$J$186),0)</f>
        <v>0.88</v>
      </c>
      <c r="Q37" s="114">
        <f>SUMPRODUCT((commission_calc!$B$5:$B$186="R011")*commission_calc!$U$5:$U$186)</f>
        <v>74825</v>
      </c>
      <c r="R37" s="114"/>
      <c r="S37" s="88" t="s">
        <v>307</v>
      </c>
      <c r="U37" s="83">
        <f>SUMPRODUCT((commission_calc!$B$5:$B$186="R014")*commission_calc!$U$5:$U$186)</f>
        <v>14016</v>
      </c>
    </row>
    <row r="38" spans="3:21" ht="15" customHeight="1" x14ac:dyDescent="0.35">
      <c r="C38" s="132" t="str">
        <f>VLOOKUP("R012",rep_roster!$A:$B,2,0)</f>
        <v>Samantha Lee</v>
      </c>
      <c r="D38" s="132"/>
      <c r="E38" s="89" t="s">
        <v>86</v>
      </c>
      <c r="F38" s="134" t="s">
        <v>34</v>
      </c>
      <c r="G38" s="134"/>
      <c r="H38" s="120">
        <f>SUMPRODUCT((commission_calc!$B$5:$B$186="R012")*commission_calc!$J$5:$J$186)</f>
        <v>600000</v>
      </c>
      <c r="I38" s="120"/>
      <c r="J38" s="120">
        <f>SUMPRODUCT((commission_calc!$B$5:$B$186="R012")*commission_calc!$K$5:$K$186)</f>
        <v>659000</v>
      </c>
      <c r="K38" s="120"/>
      <c r="L38" s="86">
        <f t="shared" si="0"/>
        <v>1.0983333333333334</v>
      </c>
      <c r="M38" s="90">
        <f>IFERROR(SUMPRODUCT((commission_calc!$B$5:$B$186="R012")*(commission_calc!$C$5:$C$186&gt;=1)*(commission_calc!$C$5:$C$186&lt;=3)*commission_calc!$K$5:$K$186)/SUMPRODUCT((commission_calc!$B$5:$B$186="R012")*(commission_calc!$C$5:$C$186&gt;=1)*(commission_calc!$C$5:$C$186&lt;=3)*commission_calc!$J$5:$J$186),0)</f>
        <v>1.36</v>
      </c>
      <c r="N38" s="90">
        <f>IFERROR(SUMPRODUCT((commission_calc!$B$5:$B$186="R012")*(commission_calc!$C$5:$C$186&gt;=4)*(commission_calc!$C$5:$C$186&lt;=6)*commission_calc!$K$5:$K$186)/SUMPRODUCT((commission_calc!$B$5:$B$186="R012")*(commission_calc!$C$5:$C$186&gt;=4)*(commission_calc!$C$5:$C$186&lt;=6)*commission_calc!$J$5:$J$186),0)</f>
        <v>1.1666666666666667</v>
      </c>
      <c r="O38" s="90">
        <f>IFERROR(SUMPRODUCT((commission_calc!$B$5:$B$186="R012")*(commission_calc!$C$5:$C$186&gt;=7)*(commission_calc!$C$5:$C$186&lt;=9)*commission_calc!$K$5:$K$186)/SUMPRODUCT((commission_calc!$B$5:$B$186="R012")*(commission_calc!$C$5:$C$186&gt;=7)*(commission_calc!$C$5:$C$186&lt;=9)*commission_calc!$J$5:$J$186),0)</f>
        <v>0.91333333333333333</v>
      </c>
      <c r="P38" s="90">
        <f>IFERROR(SUMPRODUCT((commission_calc!$B$5:$B$186="R012")*(commission_calc!$C$5:$C$186&gt;=10)*(commission_calc!$C$5:$C$186&lt;=12)*commission_calc!$K$5:$K$186)/SUMPRODUCT((commission_calc!$B$5:$B$186="R012")*(commission_calc!$C$5:$C$186&gt;=10)*(commission_calc!$C$5:$C$186&lt;=12)*commission_calc!$J$5:$J$186),0)</f>
        <v>0.95333333333333337</v>
      </c>
      <c r="Q38" s="120">
        <f>SUMPRODUCT((commission_calc!$B$5:$B$186="R012")*commission_calc!$U$5:$U$186)</f>
        <v>84725</v>
      </c>
      <c r="R38" s="120"/>
      <c r="S38" s="88" t="s">
        <v>307</v>
      </c>
      <c r="U38" s="83">
        <f>SUMPRODUCT((commission_calc!$B$5:$B$186="R016")*commission_calc!$U$5:$U$186)</f>
        <v>18636.599999999999</v>
      </c>
    </row>
    <row r="39" spans="3:21" ht="15" customHeight="1" x14ac:dyDescent="0.35">
      <c r="C39" s="131" t="str">
        <f>VLOOKUP("R013",rep_roster!$A:$B,2,0)</f>
        <v>Daniel Foster</v>
      </c>
      <c r="D39" s="131"/>
      <c r="E39" s="85" t="s">
        <v>90</v>
      </c>
      <c r="F39" s="133" t="s">
        <v>34</v>
      </c>
      <c r="G39" s="133"/>
      <c r="H39" s="114">
        <f>SUMPRODUCT((commission_calc!$B$5:$B$186="R013")*commission_calc!$J$5:$J$186)</f>
        <v>180000</v>
      </c>
      <c r="I39" s="114"/>
      <c r="J39" s="114">
        <f>SUMPRODUCT((commission_calc!$B$5:$B$186="R013")*commission_calc!$K$5:$K$186)</f>
        <v>186000</v>
      </c>
      <c r="K39" s="114"/>
      <c r="L39" s="86">
        <f t="shared" si="0"/>
        <v>1.0333333333333334</v>
      </c>
      <c r="M39" s="87">
        <f>IFERROR(SUMPRODUCT((commission_calc!$B$5:$B$186="R013")*(commission_calc!$C$5:$C$186&gt;=1)*(commission_calc!$C$5:$C$186&lt;=3)*commission_calc!$K$5:$K$186)/SUMPRODUCT((commission_calc!$B$5:$B$186="R013")*(commission_calc!$C$5:$C$186&gt;=1)*(commission_calc!$C$5:$C$186&lt;=3)*commission_calc!$J$5:$J$186),0)</f>
        <v>1.3333333333333333</v>
      </c>
      <c r="N39" s="87">
        <f>IFERROR(SUMPRODUCT((commission_calc!$B$5:$B$186="R013")*(commission_calc!$C$5:$C$186&gt;=4)*(commission_calc!$C$5:$C$186&lt;=6)*commission_calc!$K$5:$K$186)/SUMPRODUCT((commission_calc!$B$5:$B$186="R013")*(commission_calc!$C$5:$C$186&gt;=4)*(commission_calc!$C$5:$C$186&lt;=6)*commission_calc!$J$5:$J$186),0)</f>
        <v>1.1333333333333333</v>
      </c>
      <c r="O39" s="87">
        <f>IFERROR(SUMPRODUCT((commission_calc!$B$5:$B$186="R013")*(commission_calc!$C$5:$C$186&gt;=7)*(commission_calc!$C$5:$C$186&lt;=9)*commission_calc!$K$5:$K$186)/SUMPRODUCT((commission_calc!$B$5:$B$186="R013")*(commission_calc!$C$5:$C$186&gt;=7)*(commission_calc!$C$5:$C$186&lt;=9)*commission_calc!$J$5:$J$186),0)</f>
        <v>0.84444444444444444</v>
      </c>
      <c r="P39" s="87">
        <f>IFERROR(SUMPRODUCT((commission_calc!$B$5:$B$186="R013")*(commission_calc!$C$5:$C$186&gt;=10)*(commission_calc!$C$5:$C$186&lt;=12)*commission_calc!$K$5:$K$186)/SUMPRODUCT((commission_calc!$B$5:$B$186="R013")*(commission_calc!$C$5:$C$186&gt;=10)*(commission_calc!$C$5:$C$186&lt;=12)*commission_calc!$J$5:$J$186),0)</f>
        <v>0.82222222222222219</v>
      </c>
      <c r="Q39" s="114">
        <f>SUMPRODUCT((commission_calc!$B$5:$B$186="R013")*commission_calc!$U$5:$U$186)</f>
        <v>12492</v>
      </c>
      <c r="R39" s="114"/>
      <c r="S39" s="88" t="s">
        <v>307</v>
      </c>
      <c r="U39" s="83">
        <f>SUMPRODUCT((commission_calc!$B$5:$B$186="R017")*commission_calc!$U$5:$U$186)</f>
        <v>16945.599999999999</v>
      </c>
    </row>
    <row r="40" spans="3:21" ht="15" customHeight="1" x14ac:dyDescent="0.35">
      <c r="C40" s="132" t="str">
        <f>VLOOKUP("R014",rep_roster!$A:$B,2,0)</f>
        <v>Rachel Green</v>
      </c>
      <c r="D40" s="132"/>
      <c r="E40" s="89" t="s">
        <v>90</v>
      </c>
      <c r="F40" s="134" t="s">
        <v>34</v>
      </c>
      <c r="G40" s="134"/>
      <c r="H40" s="120">
        <f>SUMPRODUCT((commission_calc!$B$5:$B$186="R014")*commission_calc!$J$5:$J$186)</f>
        <v>180000</v>
      </c>
      <c r="I40" s="120"/>
      <c r="J40" s="120">
        <f>SUMPRODUCT((commission_calc!$B$5:$B$186="R014")*commission_calc!$K$5:$K$186)</f>
        <v>206000</v>
      </c>
      <c r="K40" s="120"/>
      <c r="L40" s="86">
        <f t="shared" si="0"/>
        <v>1.1444444444444444</v>
      </c>
      <c r="M40" s="90">
        <f>IFERROR(SUMPRODUCT((commission_calc!$B$5:$B$186="R014")*(commission_calc!$C$5:$C$186&gt;=1)*(commission_calc!$C$5:$C$186&lt;=3)*commission_calc!$K$5:$K$186)/SUMPRODUCT((commission_calc!$B$5:$B$186="R014")*(commission_calc!$C$5:$C$186&gt;=1)*(commission_calc!$C$5:$C$186&lt;=3)*commission_calc!$J$5:$J$186),0)</f>
        <v>1.4666666666666666</v>
      </c>
      <c r="N40" s="90">
        <f>IFERROR(SUMPRODUCT((commission_calc!$B$5:$B$186="R014")*(commission_calc!$C$5:$C$186&gt;=4)*(commission_calc!$C$5:$C$186&lt;=6)*commission_calc!$K$5:$K$186)/SUMPRODUCT((commission_calc!$B$5:$B$186="R014")*(commission_calc!$C$5:$C$186&gt;=4)*(commission_calc!$C$5:$C$186&lt;=6)*commission_calc!$J$5:$J$186),0)</f>
        <v>1.2</v>
      </c>
      <c r="O40" s="90">
        <f>IFERROR(SUMPRODUCT((commission_calc!$B$5:$B$186="R014")*(commission_calc!$C$5:$C$186&gt;=7)*(commission_calc!$C$5:$C$186&lt;=9)*commission_calc!$K$5:$K$186)/SUMPRODUCT((commission_calc!$B$5:$B$186="R014")*(commission_calc!$C$5:$C$186&gt;=7)*(commission_calc!$C$5:$C$186&lt;=9)*commission_calc!$J$5:$J$186),0)</f>
        <v>0.93333333333333335</v>
      </c>
      <c r="P40" s="90">
        <f>IFERROR(SUMPRODUCT((commission_calc!$B$5:$B$186="R014")*(commission_calc!$C$5:$C$186&gt;=10)*(commission_calc!$C$5:$C$186&lt;=12)*commission_calc!$K$5:$K$186)/SUMPRODUCT((commission_calc!$B$5:$B$186="R014")*(commission_calc!$C$5:$C$186&gt;=10)*(commission_calc!$C$5:$C$186&lt;=12)*commission_calc!$J$5:$J$186),0)</f>
        <v>0.97777777777777775</v>
      </c>
      <c r="Q40" s="120">
        <f>SUMPRODUCT((commission_calc!$B$5:$B$186="R014")*commission_calc!$U$5:$U$186)</f>
        <v>14016</v>
      </c>
      <c r="R40" s="120"/>
      <c r="S40" s="88" t="s">
        <v>307</v>
      </c>
      <c r="U40" s="83">
        <f>SUMPRODUCT((commission_calc!$B$5:$B$186="R018")*commission_calc!$U$5:$U$186)</f>
        <v>9900</v>
      </c>
    </row>
    <row r="41" spans="3:21" ht="15" customHeight="1" x14ac:dyDescent="0.35">
      <c r="C41" s="131" t="str">
        <f>VLOOKUP("R018",rep_roster!$A:$B,2,0)</f>
        <v>Brandon Cole</v>
      </c>
      <c r="D41" s="131"/>
      <c r="E41" s="85" t="s">
        <v>86</v>
      </c>
      <c r="F41" s="135" t="s">
        <v>37</v>
      </c>
      <c r="G41" s="135"/>
      <c r="H41" s="114">
        <f>SUMPRODUCT((commission_calc!$B$5:$B$186="R018")*commission_calc!$J$5:$J$186)</f>
        <v>150000</v>
      </c>
      <c r="I41" s="114"/>
      <c r="J41" s="114">
        <f>SUMPRODUCT((commission_calc!$B$5:$B$186="R018")*commission_calc!$K$5:$K$186)</f>
        <v>99000</v>
      </c>
      <c r="K41" s="114"/>
      <c r="L41" s="86">
        <f t="shared" si="0"/>
        <v>0.66</v>
      </c>
      <c r="M41" s="87">
        <f>IFERROR(SUMPRODUCT((commission_calc!$B$5:$B$186="R018")*(commission_calc!$C$5:$C$186&gt;=1)*(commission_calc!$C$5:$C$186&lt;=3)*commission_calc!$K$5:$K$186)/SUMPRODUCT((commission_calc!$B$5:$B$186="R018")*(commission_calc!$C$5:$C$186&gt;=1)*(commission_calc!$C$5:$C$186&lt;=3)*commission_calc!$J$5:$J$186),0)</f>
        <v>0.70666666666666667</v>
      </c>
      <c r="N41" s="87">
        <f>IFERROR(SUMPRODUCT((commission_calc!$B$5:$B$186="R018")*(commission_calc!$C$5:$C$186&gt;=4)*(commission_calc!$C$5:$C$186&lt;=6)*commission_calc!$K$5:$K$186)/SUMPRODUCT((commission_calc!$B$5:$B$186="R018")*(commission_calc!$C$5:$C$186&gt;=4)*(commission_calc!$C$5:$C$186&lt;=6)*commission_calc!$J$5:$J$186),0)</f>
        <v>0.61333333333333329</v>
      </c>
      <c r="O41" s="87">
        <f>IFERROR(SUMPRODUCT((commission_calc!$B$5:$B$186="R018")*(commission_calc!$C$5:$C$186&gt;=7)*(commission_calc!$C$5:$C$186&lt;=9)*commission_calc!$K$5:$K$186)/SUMPRODUCT((commission_calc!$B$5:$B$186="R018")*(commission_calc!$C$5:$C$186&gt;=7)*(commission_calc!$C$5:$C$186&lt;=9)*commission_calc!$J$5:$J$186),0)</f>
        <v>0</v>
      </c>
      <c r="P41" s="87">
        <f>IFERROR(SUMPRODUCT((commission_calc!$B$5:$B$186="R018")*(commission_calc!$C$5:$C$186&gt;=10)*(commission_calc!$C$5:$C$186&lt;=12)*commission_calc!$K$5:$K$186)/SUMPRODUCT((commission_calc!$B$5:$B$186="R018")*(commission_calc!$C$5:$C$186&gt;=10)*(commission_calc!$C$5:$C$186&lt;=12)*commission_calc!$J$5:$J$186),0)</f>
        <v>0</v>
      </c>
      <c r="Q41" s="114">
        <f>SUMPRODUCT((commission_calc!$B$5:$B$186="R018")*commission_calc!$U$5:$U$186)</f>
        <v>9900</v>
      </c>
      <c r="R41" s="114"/>
      <c r="S41" s="91" t="s">
        <v>311</v>
      </c>
      <c r="U41" s="83">
        <f>SUMPRODUCT((commission_calc!$B$5:$B$186="R019")*commission_calc!$U$5:$U$186)</f>
        <v>13520</v>
      </c>
    </row>
    <row r="42" spans="3:21" ht="15" customHeight="1" x14ac:dyDescent="0.35">
      <c r="C42" s="132" t="str">
        <f>VLOOKUP("R019",rep_roster!$A:$B,2,0)</f>
        <v>Stephanie Kim</v>
      </c>
      <c r="D42" s="132"/>
      <c r="E42" s="89" t="s">
        <v>86</v>
      </c>
      <c r="F42" s="136" t="s">
        <v>37</v>
      </c>
      <c r="G42" s="136"/>
      <c r="H42" s="120">
        <f>SUMPRODUCT((commission_calc!$B$5:$B$186="R019")*commission_calc!$J$5:$J$186)</f>
        <v>127500</v>
      </c>
      <c r="I42" s="120"/>
      <c r="J42" s="120">
        <f>SUMPRODUCT((commission_calc!$B$5:$B$186="R019")*commission_calc!$K$5:$K$186)</f>
        <v>123000</v>
      </c>
      <c r="K42" s="120"/>
      <c r="L42" s="86">
        <f t="shared" si="0"/>
        <v>0.96470588235294119</v>
      </c>
      <c r="M42" s="90">
        <f>IFERROR(SUMPRODUCT((commission_calc!$B$5:$B$186="R019")*(commission_calc!$C$5:$C$186&gt;=1)*(commission_calc!$C$5:$C$186&lt;=3)*commission_calc!$K$5:$K$186)/SUMPRODUCT((commission_calc!$B$5:$B$186="R019")*(commission_calc!$C$5:$C$186&gt;=1)*(commission_calc!$C$5:$C$186&lt;=3)*commission_calc!$J$5:$J$186),0)</f>
        <v>0</v>
      </c>
      <c r="N42" s="90">
        <f>IFERROR(SUMPRODUCT((commission_calc!$B$5:$B$186="R019")*(commission_calc!$C$5:$C$186&gt;=4)*(commission_calc!$C$5:$C$186&lt;=6)*commission_calc!$K$5:$K$186)/SUMPRODUCT((commission_calc!$B$5:$B$186="R019")*(commission_calc!$C$5:$C$186&gt;=4)*(commission_calc!$C$5:$C$186&lt;=6)*commission_calc!$J$5:$J$186),0)</f>
        <v>0</v>
      </c>
      <c r="O42" s="90">
        <f>IFERROR(SUMPRODUCT((commission_calc!$B$5:$B$186="R019")*(commission_calc!$C$5:$C$186&gt;=7)*(commission_calc!$C$5:$C$186&lt;=9)*commission_calc!$K$5:$K$186)/SUMPRODUCT((commission_calc!$B$5:$B$186="R019")*(commission_calc!$C$5:$C$186&gt;=7)*(commission_calc!$C$5:$C$186&lt;=9)*commission_calc!$J$5:$J$186),0)</f>
        <v>0.99047619047619051</v>
      </c>
      <c r="P42" s="90">
        <f>IFERROR(SUMPRODUCT((commission_calc!$B$5:$B$186="R019")*(commission_calc!$C$5:$C$186&gt;=10)*(commission_calc!$C$5:$C$186&lt;=12)*commission_calc!$K$5:$K$186)/SUMPRODUCT((commission_calc!$B$5:$B$186="R019")*(commission_calc!$C$5:$C$186&gt;=10)*(commission_calc!$C$5:$C$186&lt;=12)*commission_calc!$J$5:$J$186),0)</f>
        <v>0.94666666666666666</v>
      </c>
      <c r="Q42" s="120">
        <f>SUMPRODUCT((commission_calc!$B$5:$B$186="R019")*commission_calc!$U$5:$U$186)</f>
        <v>13520</v>
      </c>
      <c r="R42" s="120"/>
      <c r="S42" s="92" t="s">
        <v>312</v>
      </c>
      <c r="U42" s="83">
        <f>SUMPRODUCT((commission_calc!$B$5:$B$186="R020")*commission_calc!$U$5:$U$186)</f>
        <v>38320</v>
      </c>
    </row>
    <row r="43" spans="3:21" ht="15" customHeight="1" x14ac:dyDescent="0.35">
      <c r="C43" s="131" t="str">
        <f>VLOOKUP("R020",rep_roster!$A:$B,2,0)</f>
        <v>Amy Chen</v>
      </c>
      <c r="D43" s="131"/>
      <c r="E43" s="85" t="s">
        <v>86</v>
      </c>
      <c r="F43" s="135" t="s">
        <v>37</v>
      </c>
      <c r="G43" s="135"/>
      <c r="H43" s="114">
        <f>SUMPRODUCT((commission_calc!$B$5:$B$186="R020")*commission_calc!$J$5:$J$186)</f>
        <v>300000</v>
      </c>
      <c r="I43" s="114"/>
      <c r="J43" s="114">
        <f>SUMPRODUCT((commission_calc!$B$5:$B$186="R020")*commission_calc!$K$5:$K$186)</f>
        <v>317000</v>
      </c>
      <c r="K43" s="114"/>
      <c r="L43" s="86">
        <f t="shared" si="0"/>
        <v>1.0566666666666666</v>
      </c>
      <c r="M43" s="87">
        <f>IFERROR(SUMPRODUCT((commission_calc!$B$5:$B$186="R020")*(commission_calc!$C$5:$C$186&gt;=1)*(commission_calc!$C$5:$C$186&lt;=3)*commission_calc!$K$5:$K$186)/SUMPRODUCT((commission_calc!$B$5:$B$186="R020")*(commission_calc!$C$5:$C$186&gt;=1)*(commission_calc!$C$5:$C$186&lt;=3)*commission_calc!$J$5:$J$186),0)</f>
        <v>1.28</v>
      </c>
      <c r="N43" s="87">
        <f>IFERROR(SUMPRODUCT((commission_calc!$B$5:$B$186="R020")*(commission_calc!$C$5:$C$186&gt;=4)*(commission_calc!$C$5:$C$186&lt;=6)*commission_calc!$K$5:$K$186)/SUMPRODUCT((commission_calc!$B$5:$B$186="R020")*(commission_calc!$C$5:$C$186&gt;=4)*(commission_calc!$C$5:$C$186&lt;=6)*commission_calc!$J$5:$J$186),0)</f>
        <v>1.1333333333333333</v>
      </c>
      <c r="O43" s="87">
        <f>IFERROR(SUMPRODUCT((commission_calc!$B$5:$B$186="R020")*(commission_calc!$C$5:$C$186&gt;=7)*(commission_calc!$C$5:$C$186&lt;=9)*commission_calc!$K$5:$K$186)/SUMPRODUCT((commission_calc!$B$5:$B$186="R020")*(commission_calc!$C$5:$C$186&gt;=7)*(commission_calc!$C$5:$C$186&lt;=9)*commission_calc!$J$5:$J$186),0)</f>
        <v>0.89333333333333331</v>
      </c>
      <c r="P43" s="87">
        <f>IFERROR(SUMPRODUCT((commission_calc!$B$5:$B$186="R020")*(commission_calc!$C$5:$C$186&gt;=10)*(commission_calc!$C$5:$C$186&lt;=12)*commission_calc!$K$5:$K$186)/SUMPRODUCT((commission_calc!$B$5:$B$186="R020")*(commission_calc!$C$5:$C$186&gt;=10)*(commission_calc!$C$5:$C$186&lt;=12)*commission_calc!$J$5:$J$186),0)</f>
        <v>0.92</v>
      </c>
      <c r="Q43" s="114">
        <f>SUMPRODUCT((commission_calc!$B$5:$B$186="R020")*commission_calc!$U$5:$U$186)</f>
        <v>38320</v>
      </c>
      <c r="R43" s="114"/>
      <c r="S43" s="88" t="s">
        <v>307</v>
      </c>
      <c r="U43" s="83">
        <f>SUMPRODUCT((commission_calc!$B$5:$B$186="R021")*commission_calc!$U$5:$U$186)</f>
        <v>4186.5</v>
      </c>
    </row>
    <row r="44" spans="3:21" ht="15" customHeight="1" x14ac:dyDescent="0.35">
      <c r="C44" s="132" t="str">
        <f>VLOOKUP("R021",rep_roster!$A:$B,2,0)</f>
        <v>Jennifer Walsh</v>
      </c>
      <c r="D44" s="132"/>
      <c r="E44" s="89" t="s">
        <v>90</v>
      </c>
      <c r="F44" s="136" t="s">
        <v>37</v>
      </c>
      <c r="G44" s="136"/>
      <c r="H44" s="120">
        <f>SUMPRODUCT((commission_calc!$B$5:$B$186="R021")*commission_calc!$J$5:$J$186)</f>
        <v>60000</v>
      </c>
      <c r="I44" s="120"/>
      <c r="J44" s="120">
        <f>SUMPRODUCT((commission_calc!$B$5:$B$186="R021")*commission_calc!$K$5:$K$186)</f>
        <v>64000</v>
      </c>
      <c r="K44" s="120"/>
      <c r="L44" s="86">
        <f t="shared" si="0"/>
        <v>1.0666666666666667</v>
      </c>
      <c r="M44" s="90">
        <f>IFERROR(SUMPRODUCT((commission_calc!$B$5:$B$186="R021")*(commission_calc!$C$5:$C$186&gt;=1)*(commission_calc!$C$5:$C$186&lt;=3)*commission_calc!$K$5:$K$186)/SUMPRODUCT((commission_calc!$B$5:$B$186="R021")*(commission_calc!$C$5:$C$186&gt;=1)*(commission_calc!$C$5:$C$186&lt;=3)*commission_calc!$J$5:$J$186),0)</f>
        <v>1.4</v>
      </c>
      <c r="N44" s="90">
        <f>IFERROR(SUMPRODUCT((commission_calc!$B$5:$B$186="R021")*(commission_calc!$C$5:$C$186&gt;=4)*(commission_calc!$C$5:$C$186&lt;=6)*commission_calc!$K$5:$K$186)/SUMPRODUCT((commission_calc!$B$5:$B$186="R021")*(commission_calc!$C$5:$C$186&gt;=4)*(commission_calc!$C$5:$C$186&lt;=6)*commission_calc!$J$5:$J$186),0)</f>
        <v>1.1666666666666667</v>
      </c>
      <c r="O44" s="90">
        <f>IFERROR(SUMPRODUCT((commission_calc!$B$5:$B$186="R021")*(commission_calc!$C$5:$C$186&gt;=7)*(commission_calc!$C$5:$C$186&lt;=9)*commission_calc!$K$5:$K$186)/SUMPRODUCT((commission_calc!$B$5:$B$186="R021")*(commission_calc!$C$5:$C$186&gt;=7)*(commission_calc!$C$5:$C$186&lt;=9)*commission_calc!$J$5:$J$186),0)</f>
        <v>0.8666666666666667</v>
      </c>
      <c r="P44" s="90">
        <f>IFERROR(SUMPRODUCT((commission_calc!$B$5:$B$186="R021")*(commission_calc!$C$5:$C$186&gt;=10)*(commission_calc!$C$5:$C$186&lt;=12)*commission_calc!$K$5:$K$186)/SUMPRODUCT((commission_calc!$B$5:$B$186="R021")*(commission_calc!$C$5:$C$186&gt;=10)*(commission_calc!$C$5:$C$186&lt;=12)*commission_calc!$J$5:$J$186),0)</f>
        <v>0.83333333333333337</v>
      </c>
      <c r="Q44" s="120">
        <f>SUMPRODUCT((commission_calc!$B$5:$B$186="R021")*commission_calc!$U$5:$U$186)</f>
        <v>4186.5</v>
      </c>
      <c r="R44" s="120"/>
      <c r="S44" s="88" t="s">
        <v>307</v>
      </c>
    </row>
    <row r="46" spans="3:21" ht="9.75" customHeight="1" x14ac:dyDescent="0.35"/>
    <row r="47" spans="3:21" ht="18" customHeight="1" x14ac:dyDescent="0.35">
      <c r="C47" s="111" t="s">
        <v>313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</row>
    <row r="48" spans="3:21" ht="15.75" customHeight="1" x14ac:dyDescent="0.35">
      <c r="C48" s="130" t="s">
        <v>314</v>
      </c>
      <c r="D48" s="130"/>
      <c r="E48" s="4" t="s">
        <v>21</v>
      </c>
      <c r="F48" s="4"/>
      <c r="G48" s="84" t="s">
        <v>123</v>
      </c>
      <c r="H48" s="112" t="s">
        <v>315</v>
      </c>
      <c r="I48" s="112"/>
      <c r="J48" s="93" t="s">
        <v>316</v>
      </c>
      <c r="K48" s="84" t="s">
        <v>317</v>
      </c>
      <c r="L48" s="112" t="s">
        <v>306</v>
      </c>
      <c r="M48" s="112"/>
      <c r="N48" s="4" t="s">
        <v>318</v>
      </c>
      <c r="O48" s="4"/>
      <c r="P48" s="84" t="s">
        <v>319</v>
      </c>
      <c r="Q48" s="130" t="s">
        <v>30</v>
      </c>
      <c r="R48" s="130"/>
      <c r="S48" s="130"/>
    </row>
    <row r="49" spans="1:19" ht="15" customHeight="1" x14ac:dyDescent="0.35">
      <c r="C49" s="131" t="str">
        <f>VLOOKUP("R002",rep_roster!$A:$B,2,0)</f>
        <v>Marcus Williams</v>
      </c>
      <c r="D49" s="131"/>
      <c r="E49" s="113" t="s">
        <v>31</v>
      </c>
      <c r="F49" s="113"/>
      <c r="G49" s="88" t="s">
        <v>128</v>
      </c>
      <c r="H49" s="137">
        <v>96</v>
      </c>
      <c r="I49" s="137"/>
      <c r="J49" s="94">
        <v>96</v>
      </c>
      <c r="K49" s="95">
        <f t="shared" ref="K49:K54" si="1">IFERROR(H49/J49,0)</f>
        <v>1</v>
      </c>
      <c r="L49" s="114">
        <f>SUMPRODUCT((commission_calc!$B$5:$B$186="R002")*commission_calc!$U$5:$U$186)</f>
        <v>26700.3</v>
      </c>
      <c r="M49" s="114"/>
      <c r="N49" s="138">
        <v>0.85</v>
      </c>
      <c r="O49" s="138"/>
      <c r="P49" s="96" t="s">
        <v>320</v>
      </c>
      <c r="Q49" s="139" t="s">
        <v>321</v>
      </c>
      <c r="R49" s="139"/>
      <c r="S49" s="139"/>
    </row>
    <row r="50" spans="1:19" ht="15" customHeight="1" x14ac:dyDescent="0.35">
      <c r="C50" s="132" t="str">
        <f>VLOOKUP("R008",rep_roster!$A:$B,2,0)</f>
        <v>Kevin O'Brien</v>
      </c>
      <c r="D50" s="132"/>
      <c r="E50" s="134" t="s">
        <v>34</v>
      </c>
      <c r="F50" s="134"/>
      <c r="G50" s="91" t="s">
        <v>142</v>
      </c>
      <c r="H50" s="140">
        <v>80</v>
      </c>
      <c r="I50" s="140"/>
      <c r="J50" s="97">
        <v>100</v>
      </c>
      <c r="K50" s="95">
        <f t="shared" si="1"/>
        <v>0.8</v>
      </c>
      <c r="L50" s="120">
        <f>SUMPRODUCT((commission_calc!$B$5:$B$186="R008")*commission_calc!$U$5:$U$186)</f>
        <v>15948.5</v>
      </c>
      <c r="M50" s="120"/>
      <c r="N50" s="141">
        <v>0.72</v>
      </c>
      <c r="O50" s="141"/>
      <c r="P50" s="96" t="s">
        <v>320</v>
      </c>
      <c r="Q50" s="142" t="s">
        <v>322</v>
      </c>
      <c r="R50" s="142"/>
      <c r="S50" s="142"/>
    </row>
    <row r="51" spans="1:19" ht="15" customHeight="1" x14ac:dyDescent="0.35">
      <c r="C51" s="131" t="str">
        <f>VLOOKUP("R009",rep_roster!$A:$B,2,0)</f>
        <v>Aisha Johnson</v>
      </c>
      <c r="D51" s="131"/>
      <c r="E51" s="133" t="s">
        <v>34</v>
      </c>
      <c r="F51" s="133"/>
      <c r="G51" s="88" t="s">
        <v>128</v>
      </c>
      <c r="H51" s="137">
        <v>119</v>
      </c>
      <c r="I51" s="137"/>
      <c r="J51" s="94">
        <v>120</v>
      </c>
      <c r="K51" s="95">
        <f t="shared" si="1"/>
        <v>0.9916666666666667</v>
      </c>
      <c r="L51" s="114">
        <f>SUMPRODUCT((commission_calc!$B$5:$B$186="R009")*commission_calc!$U$5:$U$186)</f>
        <v>24841.25</v>
      </c>
      <c r="M51" s="114"/>
      <c r="N51" s="138">
        <v>0.74</v>
      </c>
      <c r="O51" s="138"/>
      <c r="P51" s="96" t="s">
        <v>320</v>
      </c>
      <c r="Q51" s="139" t="s">
        <v>323</v>
      </c>
      <c r="R51" s="139"/>
      <c r="S51" s="139"/>
    </row>
    <row r="52" spans="1:19" ht="15" customHeight="1" x14ac:dyDescent="0.35">
      <c r="C52" s="132" t="str">
        <f>VLOOKUP("R010",rep_roster!$A:$B,2,0)</f>
        <v>Jessica Martinez</v>
      </c>
      <c r="D52" s="132"/>
      <c r="E52" s="134" t="s">
        <v>34</v>
      </c>
      <c r="F52" s="134"/>
      <c r="G52" s="92" t="s">
        <v>145</v>
      </c>
      <c r="H52" s="140">
        <v>56</v>
      </c>
      <c r="I52" s="140"/>
      <c r="J52" s="97">
        <v>60</v>
      </c>
      <c r="K52" s="95">
        <f t="shared" si="1"/>
        <v>0.93333333333333335</v>
      </c>
      <c r="L52" s="120">
        <f>SUMPRODUCT((commission_calc!$B$5:$B$186="R010")*commission_calc!$U$5:$U$186)</f>
        <v>11481.25</v>
      </c>
      <c r="M52" s="120"/>
      <c r="N52" s="141">
        <v>0.71</v>
      </c>
      <c r="O52" s="141"/>
      <c r="P52" s="96" t="s">
        <v>320</v>
      </c>
      <c r="Q52" s="142" t="s">
        <v>324</v>
      </c>
      <c r="R52" s="142"/>
      <c r="S52" s="142"/>
    </row>
    <row r="53" spans="1:19" ht="15" customHeight="1" x14ac:dyDescent="0.35">
      <c r="C53" s="131" t="str">
        <f>VLOOKUP("R016",rep_roster!$A:$B,2,0)</f>
        <v>Nina Patel</v>
      </c>
      <c r="D53" s="131"/>
      <c r="E53" s="135" t="s">
        <v>37</v>
      </c>
      <c r="F53" s="135"/>
      <c r="G53" s="88" t="s">
        <v>128</v>
      </c>
      <c r="H53" s="137">
        <v>174</v>
      </c>
      <c r="I53" s="137"/>
      <c r="J53" s="94">
        <v>192</v>
      </c>
      <c r="K53" s="95">
        <f t="shared" si="1"/>
        <v>0.90625</v>
      </c>
      <c r="L53" s="114">
        <f>SUMPRODUCT((commission_calc!$B$5:$B$186="R016")*commission_calc!$U$5:$U$186)</f>
        <v>18636.599999999999</v>
      </c>
      <c r="M53" s="114"/>
      <c r="N53" s="138">
        <v>0.7</v>
      </c>
      <c r="O53" s="138"/>
      <c r="P53" s="96" t="s">
        <v>320</v>
      </c>
      <c r="Q53" s="139" t="s">
        <v>325</v>
      </c>
      <c r="R53" s="139"/>
      <c r="S53" s="139"/>
    </row>
    <row r="54" spans="1:19" ht="15" customHeight="1" x14ac:dyDescent="0.35">
      <c r="C54" s="132" t="str">
        <f>VLOOKUP("R017",rep_roster!$A:$B,2,0)</f>
        <v>Derek Washington</v>
      </c>
      <c r="D54" s="132"/>
      <c r="E54" s="136" t="s">
        <v>37</v>
      </c>
      <c r="F54" s="136"/>
      <c r="G54" s="88" t="s">
        <v>128</v>
      </c>
      <c r="H54" s="140">
        <v>163</v>
      </c>
      <c r="I54" s="140"/>
      <c r="J54" s="97">
        <v>192</v>
      </c>
      <c r="K54" s="95">
        <f t="shared" si="1"/>
        <v>0.84895833333333337</v>
      </c>
      <c r="L54" s="120">
        <f>SUMPRODUCT((commission_calc!$B$5:$B$186="R017")*commission_calc!$U$5:$U$186)</f>
        <v>16945.599999999999</v>
      </c>
      <c r="M54" s="120"/>
      <c r="N54" s="141">
        <v>0.69</v>
      </c>
      <c r="O54" s="141"/>
      <c r="P54" s="96" t="s">
        <v>320</v>
      </c>
      <c r="Q54" s="142" t="s">
        <v>326</v>
      </c>
      <c r="R54" s="142"/>
      <c r="S54" s="142"/>
    </row>
    <row r="56" spans="1:19" ht="9.75" customHeight="1" x14ac:dyDescent="0.35"/>
    <row r="57" spans="1:19" ht="18" customHeight="1" x14ac:dyDescent="0.35">
      <c r="C57" s="111" t="s">
        <v>327</v>
      </c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</row>
    <row r="58" spans="1:19" ht="15.75" customHeight="1" x14ac:dyDescent="0.35">
      <c r="C58" s="5" t="s">
        <v>328</v>
      </c>
      <c r="D58" s="5"/>
      <c r="E58" s="5"/>
      <c r="F58" s="5"/>
      <c r="G58" s="5"/>
      <c r="H58" s="102" t="s">
        <v>329</v>
      </c>
      <c r="I58" s="102"/>
      <c r="J58" s="102"/>
      <c r="K58" s="102"/>
      <c r="L58" s="102"/>
      <c r="M58" s="102"/>
      <c r="N58" s="103" t="s">
        <v>330</v>
      </c>
      <c r="O58" s="103"/>
      <c r="P58" s="103"/>
      <c r="Q58" s="103"/>
      <c r="R58" s="103"/>
      <c r="S58" s="103"/>
    </row>
    <row r="59" spans="1:19" ht="51.75" customHeight="1" x14ac:dyDescent="0.35">
      <c r="C59" s="143" t="s">
        <v>331</v>
      </c>
      <c r="D59" s="143"/>
      <c r="E59" s="143"/>
      <c r="F59" s="143"/>
      <c r="G59" s="143"/>
      <c r="H59" s="144" t="s">
        <v>332</v>
      </c>
      <c r="I59" s="144"/>
      <c r="J59" s="144"/>
      <c r="K59" s="144"/>
      <c r="L59" s="144"/>
      <c r="M59" s="144"/>
      <c r="N59" s="145" t="s">
        <v>333</v>
      </c>
      <c r="O59" s="145"/>
      <c r="P59" s="145"/>
      <c r="Q59" s="145"/>
      <c r="R59" s="145"/>
      <c r="S59" s="145"/>
    </row>
    <row r="60" spans="1:19" ht="7.5" customHeight="1" x14ac:dyDescent="0.35"/>
    <row r="61" spans="1:19" ht="13.5" customHeight="1" x14ac:dyDescent="0.35">
      <c r="A61" s="146" t="s">
        <v>334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</row>
  </sheetData>
  <mergeCells count="241">
    <mergeCell ref="C57:S57"/>
    <mergeCell ref="C58:G58"/>
    <mergeCell ref="H58:M58"/>
    <mergeCell ref="N58:S58"/>
    <mergeCell ref="C59:G59"/>
    <mergeCell ref="H59:M59"/>
    <mergeCell ref="N59:S59"/>
    <mergeCell ref="A61:S61"/>
    <mergeCell ref="C53:D53"/>
    <mergeCell ref="E53:F53"/>
    <mergeCell ref="H53:I53"/>
    <mergeCell ref="L53:M53"/>
    <mergeCell ref="N53:O53"/>
    <mergeCell ref="Q53:S53"/>
    <mergeCell ref="C54:D54"/>
    <mergeCell ref="E54:F54"/>
    <mergeCell ref="H54:I54"/>
    <mergeCell ref="L54:M54"/>
    <mergeCell ref="N54:O54"/>
    <mergeCell ref="Q54:S54"/>
    <mergeCell ref="C51:D51"/>
    <mergeCell ref="E51:F51"/>
    <mergeCell ref="H51:I51"/>
    <mergeCell ref="L51:M51"/>
    <mergeCell ref="N51:O51"/>
    <mergeCell ref="Q51:S51"/>
    <mergeCell ref="C52:D52"/>
    <mergeCell ref="E52:F52"/>
    <mergeCell ref="H52:I52"/>
    <mergeCell ref="L52:M52"/>
    <mergeCell ref="N52:O52"/>
    <mergeCell ref="Q52:S52"/>
    <mergeCell ref="C49:D49"/>
    <mergeCell ref="E49:F49"/>
    <mergeCell ref="H49:I49"/>
    <mergeCell ref="L49:M49"/>
    <mergeCell ref="N49:O49"/>
    <mergeCell ref="Q49:S49"/>
    <mergeCell ref="C50:D50"/>
    <mergeCell ref="E50:F50"/>
    <mergeCell ref="H50:I50"/>
    <mergeCell ref="L50:M50"/>
    <mergeCell ref="N50:O50"/>
    <mergeCell ref="Q50:S50"/>
    <mergeCell ref="C44:D44"/>
    <mergeCell ref="F44:G44"/>
    <mergeCell ref="H44:I44"/>
    <mergeCell ref="J44:K44"/>
    <mergeCell ref="Q44:R44"/>
    <mergeCell ref="C47:S47"/>
    <mergeCell ref="C48:D48"/>
    <mergeCell ref="E48:F48"/>
    <mergeCell ref="H48:I48"/>
    <mergeCell ref="L48:M48"/>
    <mergeCell ref="N48:O48"/>
    <mergeCell ref="Q48:S48"/>
    <mergeCell ref="C42:D42"/>
    <mergeCell ref="F42:G42"/>
    <mergeCell ref="H42:I42"/>
    <mergeCell ref="J42:K42"/>
    <mergeCell ref="Q42:R42"/>
    <mergeCell ref="C43:D43"/>
    <mergeCell ref="F43:G43"/>
    <mergeCell ref="H43:I43"/>
    <mergeCell ref="J43:K43"/>
    <mergeCell ref="Q43:R43"/>
    <mergeCell ref="C40:D40"/>
    <mergeCell ref="F40:G40"/>
    <mergeCell ref="H40:I40"/>
    <mergeCell ref="J40:K40"/>
    <mergeCell ref="Q40:R40"/>
    <mergeCell ref="C41:D41"/>
    <mergeCell ref="F41:G41"/>
    <mergeCell ref="H41:I41"/>
    <mergeCell ref="J41:K41"/>
    <mergeCell ref="Q41:R41"/>
    <mergeCell ref="C38:D38"/>
    <mergeCell ref="F38:G38"/>
    <mergeCell ref="H38:I38"/>
    <mergeCell ref="J38:K38"/>
    <mergeCell ref="Q38:R38"/>
    <mergeCell ref="C39:D39"/>
    <mergeCell ref="F39:G39"/>
    <mergeCell ref="H39:I39"/>
    <mergeCell ref="J39:K39"/>
    <mergeCell ref="Q39:R39"/>
    <mergeCell ref="C36:D36"/>
    <mergeCell ref="F36:G36"/>
    <mergeCell ref="H36:I36"/>
    <mergeCell ref="J36:K36"/>
    <mergeCell ref="Q36:R36"/>
    <mergeCell ref="C37:D37"/>
    <mergeCell ref="F37:G37"/>
    <mergeCell ref="H37:I37"/>
    <mergeCell ref="J37:K37"/>
    <mergeCell ref="Q37:R37"/>
    <mergeCell ref="C34:D34"/>
    <mergeCell ref="F34:G34"/>
    <mergeCell ref="H34:I34"/>
    <mergeCell ref="J34:K34"/>
    <mergeCell ref="Q34:R34"/>
    <mergeCell ref="C35:D35"/>
    <mergeCell ref="F35:G35"/>
    <mergeCell ref="H35:I35"/>
    <mergeCell ref="J35:K35"/>
    <mergeCell ref="Q35:R35"/>
    <mergeCell ref="C31:S31"/>
    <mergeCell ref="C32:D32"/>
    <mergeCell ref="F32:G32"/>
    <mergeCell ref="H32:I32"/>
    <mergeCell ref="J32:K32"/>
    <mergeCell ref="Q32:R32"/>
    <mergeCell ref="C33:D33"/>
    <mergeCell ref="F33:G33"/>
    <mergeCell ref="H33:I33"/>
    <mergeCell ref="J33:K33"/>
    <mergeCell ref="Q33:R33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C24:D24"/>
    <mergeCell ref="E24:F24"/>
    <mergeCell ref="G24:H24"/>
    <mergeCell ref="I24:J24"/>
    <mergeCell ref="L24:M24"/>
    <mergeCell ref="N24:O24"/>
    <mergeCell ref="P24:Q24"/>
    <mergeCell ref="R24:S24"/>
    <mergeCell ref="C25:D25"/>
    <mergeCell ref="E25:F25"/>
    <mergeCell ref="G25:H25"/>
    <mergeCell ref="I25:J25"/>
    <mergeCell ref="L25:O25"/>
    <mergeCell ref="P25:Q25"/>
    <mergeCell ref="R25:S25"/>
    <mergeCell ref="C22:D22"/>
    <mergeCell ref="E22:F22"/>
    <mergeCell ref="G22:H22"/>
    <mergeCell ref="I22:J22"/>
    <mergeCell ref="L22:M22"/>
    <mergeCell ref="N22:O22"/>
    <mergeCell ref="P22:Q22"/>
    <mergeCell ref="R22:S22"/>
    <mergeCell ref="C23:D23"/>
    <mergeCell ref="E23:F23"/>
    <mergeCell ref="G23:H23"/>
    <mergeCell ref="I23:J23"/>
    <mergeCell ref="L23:M23"/>
    <mergeCell ref="N23:O23"/>
    <mergeCell ref="P23:Q23"/>
    <mergeCell ref="R23:S23"/>
    <mergeCell ref="C20:D20"/>
    <mergeCell ref="E20:F20"/>
    <mergeCell ref="G20:H20"/>
    <mergeCell ref="I20:J20"/>
    <mergeCell ref="L20:M20"/>
    <mergeCell ref="N20:O20"/>
    <mergeCell ref="P20:Q20"/>
    <mergeCell ref="R20:S20"/>
    <mergeCell ref="C21:D21"/>
    <mergeCell ref="E21:F21"/>
    <mergeCell ref="G21:H21"/>
    <mergeCell ref="I21:J21"/>
    <mergeCell ref="L21:M21"/>
    <mergeCell ref="N21:O21"/>
    <mergeCell ref="P21:Q21"/>
    <mergeCell ref="R21:S21"/>
    <mergeCell ref="C18:D18"/>
    <mergeCell ref="E18:F18"/>
    <mergeCell ref="G18:H18"/>
    <mergeCell ref="I18:J18"/>
    <mergeCell ref="L18:M18"/>
    <mergeCell ref="N18:O18"/>
    <mergeCell ref="P18:Q18"/>
    <mergeCell ref="R18:S18"/>
    <mergeCell ref="C19:D19"/>
    <mergeCell ref="E19:F19"/>
    <mergeCell ref="G19:H19"/>
    <mergeCell ref="I19:J19"/>
    <mergeCell ref="L19:M19"/>
    <mergeCell ref="N19:O19"/>
    <mergeCell ref="P19:Q19"/>
    <mergeCell ref="R19:S19"/>
    <mergeCell ref="C16:D16"/>
    <mergeCell ref="E16:F16"/>
    <mergeCell ref="G16:H16"/>
    <mergeCell ref="I16:J16"/>
    <mergeCell ref="L16:M16"/>
    <mergeCell ref="N16:O16"/>
    <mergeCell ref="P16:Q16"/>
    <mergeCell ref="R16:S16"/>
    <mergeCell ref="C17:D17"/>
    <mergeCell ref="E17:F17"/>
    <mergeCell ref="G17:H17"/>
    <mergeCell ref="I17:J17"/>
    <mergeCell ref="L17:M17"/>
    <mergeCell ref="N17:O17"/>
    <mergeCell ref="P17:Q17"/>
    <mergeCell ref="R17:S17"/>
    <mergeCell ref="C12:G12"/>
    <mergeCell ref="I12:M12"/>
    <mergeCell ref="O12:S12"/>
    <mergeCell ref="C14:J14"/>
    <mergeCell ref="L14:S14"/>
    <mergeCell ref="C15:D15"/>
    <mergeCell ref="E15:F15"/>
    <mergeCell ref="G15:H15"/>
    <mergeCell ref="I15:J15"/>
    <mergeCell ref="L15:M15"/>
    <mergeCell ref="N15:O15"/>
    <mergeCell ref="P15:Q15"/>
    <mergeCell ref="R15:S15"/>
    <mergeCell ref="C8:G8"/>
    <mergeCell ref="I8:M8"/>
    <mergeCell ref="O8:S8"/>
    <mergeCell ref="C10:G10"/>
    <mergeCell ref="I10:M10"/>
    <mergeCell ref="O10:S10"/>
    <mergeCell ref="C11:G11"/>
    <mergeCell ref="I11:M11"/>
    <mergeCell ref="O11:S11"/>
    <mergeCell ref="A2:S2"/>
    <mergeCell ref="A3:S3"/>
    <mergeCell ref="A4:F4"/>
    <mergeCell ref="G4:M4"/>
    <mergeCell ref="N4:S4"/>
    <mergeCell ref="C6:G6"/>
    <mergeCell ref="I6:M6"/>
    <mergeCell ref="O6:S6"/>
    <mergeCell ref="C7:G7"/>
    <mergeCell ref="I7:M7"/>
    <mergeCell ref="O7:S7"/>
  </mergeCells>
  <conditionalFormatting sqref="L33:L44">
    <cfRule type="colorScale" priority="2">
      <colorScale>
        <cfvo type="num" val="0.5"/>
        <cfvo type="num" val="1"/>
        <cfvo type="num" val="1.3"/>
        <color rgb="FFFADBD8"/>
        <color rgb="FFFFFFFF"/>
        <color rgb="FFD5F5E3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plan_catalog</vt:lpstr>
      <vt:lpstr>rep_roster</vt:lpstr>
      <vt:lpstr>monthly_actuals</vt:lpstr>
      <vt:lpstr>sdr_meeting_tracker</vt:lpstr>
      <vt:lpstr>commission_calc</vt:lpstr>
      <vt:lpstr>quarterly_bonus</vt:lpstr>
      <vt:lpstr>team_rollup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Joseph Viscione</cp:lastModifiedBy>
  <cp:revision>4</cp:revision>
  <dcterms:created xsi:type="dcterms:W3CDTF">2026-04-02T02:37:23Z</dcterms:created>
  <dcterms:modified xsi:type="dcterms:W3CDTF">2026-04-02T18:05:30Z</dcterms:modified>
  <dc:language>en-US</dc:language>
</cp:coreProperties>
</file>